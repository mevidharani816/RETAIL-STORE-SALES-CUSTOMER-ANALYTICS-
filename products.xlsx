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BBE05EC-0198-49B0-9711-68F3D9A5DC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4" r:id="rId1"/>
    <sheet name="products" sheetId="1" r:id="rId2"/>
  </sheets>
  <definedNames>
    <definedName name="_xlnm._FilterDatabase" localSheetId="1" hidden="1">products!$F$1:$F$4723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2" i="1" l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<sst xmlns="http://schemas.openxmlformats.org/spreadsheetml/2006/main" count="331" uniqueCount="301">
  <si>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</si>
  <si>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</si>
  <si>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</si>
  <si>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</si>
  <si>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</si>
  <si>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</si>
  <si>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</si>
  <si>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</si>
  <si>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</si>
  <si>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</si>
  <si>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</si>
  <si>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</si>
  <si>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</si>
  <si>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</si>
  <si>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</si>
  <si>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</si>
  <si>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</si>
  <si>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</si>
  <si>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</si>
  <si>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</si>
  <si>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</si>
  <si>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</si>
  <si>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</si>
  <si>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</si>
  <si>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</si>
  <si>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</si>
  <si>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</si>
  <si>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</si>
  <si>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</si>
  <si>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</si>
  <si>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</si>
  <si>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</si>
  <si>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</si>
  <si>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</si>
  <si>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</si>
  <si>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</si>
  <si>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</si>
  <si>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</si>
  <si>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</si>
  <si>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</si>
  <si>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</si>
  <si>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</si>
  <si>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</si>
  <si>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</si>
  <si>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</si>
  <si>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</si>
  <si>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</si>
  <si>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</si>
  <si>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</si>
  <si>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</si>
  <si>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</si>
  <si>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</si>
  <si>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</si>
  <si>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</si>
  <si>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</si>
  <si>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</si>
  <si>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</si>
  <si>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</si>
  <si>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</si>
  <si>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</si>
  <si>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</si>
  <si>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</si>
  <si>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</si>
  <si>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</si>
  <si>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</si>
  <si>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</si>
  <si>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</si>
  <si>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</si>
  <si>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</si>
  <si>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</si>
  <si>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</si>
  <si>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</si>
  <si>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</si>
  <si>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</si>
  <si>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</si>
  <si>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</si>
  <si>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</si>
  <si>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</si>
  <si>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</si>
  <si>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</si>
  <si>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</si>
  <si>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</si>
  <si>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</si>
  <si>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</si>
  <si>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</si>
  <si>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</si>
  <si>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</si>
  <si>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</si>
  <si>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</si>
  <si>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</si>
  <si>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</si>
  <si>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</si>
  <si>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</si>
  <si>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</si>
  <si>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</si>
  <si>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</si>
  <si>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</si>
  <si>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</si>
  <si>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</si>
  <si>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</si>
  <si>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</si>
  <si>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</si>
  <si>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</si>
  <si>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</si>
  <si>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</si>
  <si>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</si>
  <si>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</si>
  <si>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</si>
  <si>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</si>
  <si>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</si>
  <si>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</si>
  <si>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</si>
  <si>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</si>
  <si>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</si>
  <si>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</si>
  <si>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</si>
  <si>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</si>
  <si>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</si>
  <si>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</si>
  <si>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</si>
  <si>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</si>
  <si>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</si>
  <si>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</si>
  <si>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</si>
  <si>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</si>
  <si>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</si>
  <si>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</si>
  <si>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</si>
  <si>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</si>
  <si>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</si>
  <si>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</si>
  <si>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</si>
  <si>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</si>
  <si>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</si>
  <si>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</si>
  <si>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</si>
  <si>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</si>
  <si>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</si>
  <si>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</si>
  <si>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</si>
  <si>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</si>
  <si>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</si>
  <si>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</si>
  <si>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</si>
  <si>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</si>
  <si>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</si>
  <si>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</si>
  <si>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</si>
  <si>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</si>
  <si>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</si>
  <si>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</si>
  <si>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</si>
  <si>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</si>
  <si>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</si>
  <si>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</si>
  <si>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</si>
  <si>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</si>
  <si>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</si>
  <si>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</si>
  <si>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</si>
  <si>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</si>
  <si>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</si>
  <si>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</si>
  <si>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</si>
  <si>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</si>
  <si>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</si>
  <si>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</si>
  <si>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</si>
  <si>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</si>
  <si>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</si>
  <si>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</si>
  <si>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</si>
  <si>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</si>
  <si>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</si>
  <si>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</si>
  <si>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</si>
  <si>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</si>
  <si>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</si>
  <si>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</si>
  <si>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</si>
  <si>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</si>
  <si>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</si>
  <si>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</si>
  <si>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</si>
  <si>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</si>
  <si>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</si>
  <si>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</si>
  <si>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</si>
  <si>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</si>
  <si>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</si>
  <si>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</si>
  <si>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</si>
  <si>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</si>
  <si>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</si>
  <si>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</si>
  <si>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</si>
  <si>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</si>
  <si>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</si>
  <si>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</si>
  <si>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</si>
  <si>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</si>
  <si>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</si>
  <si>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</si>
  <si>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</si>
  <si>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</si>
  <si>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</si>
  <si>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</si>
  <si>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</si>
  <si>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</si>
  <si>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</si>
  <si>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</si>
  <si>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</si>
  <si>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</si>
  <si>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</si>
  <si>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</si>
  <si>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</si>
  <si>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</si>
  <si>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</si>
  <si>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</si>
  <si>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</si>
  <si>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</si>
  <si>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</si>
  <si>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</si>
  <si>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</si>
  <si>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</si>
  <si>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</si>
  <si>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</si>
  <si>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</si>
  <si>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</si>
  <si>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</si>
  <si>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</si>
  <si>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</si>
  <si>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</si>
  <si>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</si>
  <si>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</si>
  <si>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</si>
  <si>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</si>
  <si>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</si>
  <si>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</si>
  <si>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</si>
  <si>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</si>
  <si>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</si>
  <si>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</si>
  <si>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</si>
  <si>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</si>
  <si>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</si>
  <si>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</si>
  <si>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</si>
  <si>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</si>
  <si>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</si>
  <si>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</si>
  <si>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</si>
  <si>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</si>
  <si>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</si>
  <si>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</si>
  <si>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</si>
  <si>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</si>
  <si>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</si>
  <si>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</si>
  <si>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</si>
  <si>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</si>
  <si>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</si>
  <si>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</si>
  <si>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</si>
  <si>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</si>
  <si>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</si>
  <si>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</si>
  <si>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</si>
  <si>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</si>
  <si>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</si>
  <si>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</si>
  <si>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</si>
  <si>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</si>
  <si>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</si>
  <si>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</si>
  <si>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</si>
  <si>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</si>
  <si>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</si>
  <si>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</si>
  <si>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</si>
  <si>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</si>
  <si>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</si>
  <si>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</si>
  <si>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</si>
  <si>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</si>
  <si>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</si>
  <si>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</si>
  <si>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</si>
  <si>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</si>
  <si>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</si>
  <si>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</si>
  <si>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</si>
  <si>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</si>
  <si>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</si>
  <si>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</si>
  <si>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</si>
  <si>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</si>
  <si>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Row Labels</t>
  </si>
  <si>
    <t>Grand Total</t>
  </si>
  <si>
    <t>Total Price</t>
  </si>
  <si>
    <t>Sum of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</si>
</sst>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7"/>
                <c:pt idx="0">
                  <c:v>102057.58999999991</c:v>
                </c:pt>
                <c:pt idx="1">
                  <c:v>100584.29999999997</c:v>
                </c:pt>
                <c:pt idx="2">
                  <c:v>415128.84000000043</c:v>
                </c:pt>
                <c:pt idx="3">
                  <c:v>55268.070000000007</c:v>
                </c:pt>
                <c:pt idx="4">
                  <c:v>163380.24000000002</c:v>
                </c:pt>
                <c:pt idx="5">
                  <c:v>627272.56000000029</c:v>
                </c:pt>
                <c:pt idx="6">
                  <c:v>656996.56000000029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6-48D5-87C6-F5256242A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979376"/>
        <c:axId val="2103379120"/>
      </c:barChart>
      <c:catAx>
        <c:axId val="19639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79120"/>
        <c:crosses val="autoZero"/>
        <c:auto val="1"/>
        <c:lblAlgn val="ctr"/>
        <c:lblOffset val="100"/>
        <c:noMultiLvlLbl val="0"/>
      </c:catAx>
      <c:valAx>
        <c:axId val="21033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9CD88-D315-1BA6-79C3-4E0A83E9B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08.934079861108" createdVersion="8" refreshedVersion="8" minRefreshableVersion="3" recordCount="321" xr:uid="{231E5983-5115-4BD4-AF14-395E6A48FFD5}">
  <cacheSource type="worksheet">
    <worksheetSource ref="A1:G322" sheet="products"/>
  </cacheSource>
  <cacheFields count="7">
    <cacheField name="product_id" numFmtId="0">
      <sharedItems containsSemiMixedTypes="0" containsString="0" containsNumber="1" containsInteger="1" minValue="1" maxValue="321"/>
    </cacheField>
    <cacheField name="product_name" numFmtId="0">
      <sharedItems/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 count="7">
        <n v="6"/>
        <n v="5"/>
        <n v="4"/>
        <n v="3"/>
        <n v="1"/>
        <n v="2"/>
        <n v="7"/>
      </sharedItems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minValue="89.99" maxValue="11999.99"/>
    </cacheField>
    <cacheField name="Total Price" numFmtId="0">
      <sharedItems containsSemiMixedTypes="0" containsString="0" containsNumber="1" minValue="1436.0100000000002" maxValue="13376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"/>
    <s v="Trek 820 - 2016"/>
    <n v="9"/>
    <x v="0"/>
    <n v="2016"/>
    <n v="379.99"/>
    <n v="11716.01"/>
  </r>
  <r>
    <n v="2"/>
    <s v="Ritchey Timberwolf Frameset - 2016"/>
    <n v="5"/>
    <x v="0"/>
    <n v="2016"/>
    <n v="749.99"/>
    <n v="11346.01"/>
  </r>
  <r>
    <n v="3"/>
    <s v="Surly Wednesday Frameset - 2016"/>
    <n v="8"/>
    <x v="0"/>
    <n v="2016"/>
    <n v="999.99"/>
    <n v="11096.01"/>
  </r>
  <r>
    <n v="4"/>
    <s v="Trek Fuel EX 8 29 - 2016"/>
    <n v="9"/>
    <x v="0"/>
    <n v="2016"/>
    <n v="2899.99"/>
    <n v="9196.01"/>
  </r>
  <r>
    <n v="5"/>
    <s v="Heller Shagamaw Frame - 2016"/>
    <n v="3"/>
    <x v="0"/>
    <n v="2016"/>
    <n v="1320.99"/>
    <n v="10775.01"/>
  </r>
  <r>
    <n v="6"/>
    <s v="Surly Ice Cream Truck Frameset - 2016"/>
    <n v="8"/>
    <x v="0"/>
    <n v="2016"/>
    <n v="469.99"/>
    <n v="11626.01"/>
  </r>
  <r>
    <n v="7"/>
    <s v="Trek Slash 8 27.5 - 2016"/>
    <n v="9"/>
    <x v="0"/>
    <n v="2016"/>
    <n v="3999.99"/>
    <n v="8096.01"/>
  </r>
  <r>
    <n v="8"/>
    <s v="Trek Remedy 29 Carbon Frameset - 2016"/>
    <n v="9"/>
    <x v="0"/>
    <n v="2016"/>
    <n v="1799.99"/>
    <n v="10296.01"/>
  </r>
  <r>
    <n v="9"/>
    <s v="Trek Conduit+ - 2016"/>
    <n v="9"/>
    <x v="1"/>
    <n v="2016"/>
    <n v="2999.99"/>
    <n v="7080.01"/>
  </r>
  <r>
    <n v="10"/>
    <s v="Surly Straggler - 2016"/>
    <n v="8"/>
    <x v="2"/>
    <n v="2016"/>
    <n v="1549"/>
    <n v="6515"/>
  </r>
  <r>
    <n v="11"/>
    <s v="Surly Straggler 650b - 2016"/>
    <n v="8"/>
    <x v="2"/>
    <n v="2016"/>
    <n v="1680.99"/>
    <n v="6383.01"/>
  </r>
  <r>
    <n v="12"/>
    <s v="Electra Townie Original 21D - 2016"/>
    <n v="1"/>
    <x v="3"/>
    <n v="2016"/>
    <n v="549.99"/>
    <n v="5498.01"/>
  </r>
  <r>
    <n v="13"/>
    <s v="Electra Cruiser 1 (24-Inch) - 2016"/>
    <n v="1"/>
    <x v="3"/>
    <n v="2016"/>
    <n v="269.99"/>
    <n v="5778.01"/>
  </r>
  <r>
    <n v="14"/>
    <s v="Electra Girl's Hawaii 1 (16-inch) - 2015/2016"/>
    <n v="1"/>
    <x v="3"/>
    <n v="2016"/>
    <n v="269.99"/>
    <n v="5778.01"/>
  </r>
  <r>
    <n v="15"/>
    <s v="Electra Moto 1 - 2016"/>
    <n v="1"/>
    <x v="3"/>
    <n v="2016"/>
    <n v="529.99"/>
    <n v="5518.01"/>
  </r>
  <r>
    <n v="16"/>
    <s v="Electra Townie Original 7D EQ - 2016"/>
    <n v="1"/>
    <x v="3"/>
    <n v="2016"/>
    <n v="599.99"/>
    <n v="5448.01"/>
  </r>
  <r>
    <n v="17"/>
    <s v="Pure Cycles Vine 8-Speed - 2016"/>
    <n v="4"/>
    <x v="3"/>
    <n v="2016"/>
    <n v="429"/>
    <n v="5619"/>
  </r>
  <r>
    <n v="18"/>
    <s v="Pure Cycles Western 3-Speed - Women's - 2015/2016"/>
    <n v="4"/>
    <x v="3"/>
    <n v="2016"/>
    <n v="449"/>
    <n v="5599"/>
  </r>
  <r>
    <n v="19"/>
    <s v="Pure Cycles William 3-Speed - 2016"/>
    <n v="4"/>
    <x v="3"/>
    <n v="2016"/>
    <n v="449"/>
    <n v="5599"/>
  </r>
  <r>
    <n v="20"/>
    <s v="Electra Townie Original 7D EQ - Women's - 2016"/>
    <n v="1"/>
    <x v="3"/>
    <n v="2016"/>
    <n v="599.99"/>
    <n v="5448.01"/>
  </r>
  <r>
    <n v="21"/>
    <s v="Electra Cruiser 1 (24-Inch) - 2016"/>
    <n v="1"/>
    <x v="4"/>
    <n v="2016"/>
    <n v="269.99"/>
    <n v="1746.01"/>
  </r>
  <r>
    <n v="22"/>
    <s v="Electra Girl's Hawaii 1 (16-inch) - 2015/2016"/>
    <n v="1"/>
    <x v="4"/>
    <n v="2016"/>
    <n v="269.99"/>
    <n v="1746.01"/>
  </r>
  <r>
    <n v="23"/>
    <s v="Electra Girl's Hawaii 1 (20-inch) - 2015/2016"/>
    <n v="1"/>
    <x v="4"/>
    <n v="2016"/>
    <n v="299.99"/>
    <n v="1716.01"/>
  </r>
  <r>
    <n v="24"/>
    <s v="Electra Townie Original 21D - 2016"/>
    <n v="1"/>
    <x v="5"/>
    <n v="2016"/>
    <n v="549.99"/>
    <n v="3482.01"/>
  </r>
  <r>
    <n v="25"/>
    <s v="Electra Townie Original 7D - 2015/2016"/>
    <n v="1"/>
    <x v="5"/>
    <n v="2016"/>
    <n v="499.99"/>
    <n v="3532.01"/>
  </r>
  <r>
    <n v="26"/>
    <s v="Electra Townie Original 7D EQ - 2016"/>
    <n v="1"/>
    <x v="5"/>
    <n v="2016"/>
    <n v="599.99"/>
    <n v="3432.01"/>
  </r>
  <r>
    <n v="27"/>
    <s v="Surly Big Dummy Frameset - 2017"/>
    <n v="8"/>
    <x v="0"/>
    <n v="2017"/>
    <n v="999.99"/>
    <n v="11102.01"/>
  </r>
  <r>
    <n v="28"/>
    <s v="Surly Karate Monkey 27.5+ Frameset - 2017"/>
    <n v="8"/>
    <x v="0"/>
    <n v="2017"/>
    <n v="2499.9899999999998"/>
    <n v="9602.01"/>
  </r>
  <r>
    <n v="29"/>
    <s v="Trek X-Caliber 8 - 2017"/>
    <n v="9"/>
    <x v="0"/>
    <n v="2017"/>
    <n v="999.99"/>
    <n v="11102.01"/>
  </r>
  <r>
    <n v="30"/>
    <s v="Surly Ice Cream Truck Frameset - 2017"/>
    <n v="8"/>
    <x v="0"/>
    <n v="2017"/>
    <n v="999.99"/>
    <n v="11102.01"/>
  </r>
  <r>
    <n v="31"/>
    <s v="Surly Wednesday - 2017"/>
    <n v="8"/>
    <x v="0"/>
    <n v="2017"/>
    <n v="1632.99"/>
    <n v="10469.01"/>
  </r>
  <r>
    <n v="32"/>
    <s v="Trek Farley Alloy Frameset - 2017"/>
    <n v="9"/>
    <x v="0"/>
    <n v="2017"/>
    <n v="469.99"/>
    <n v="11632.01"/>
  </r>
  <r>
    <n v="33"/>
    <s v="Surly Wednesday Frameset - 2017"/>
    <n v="8"/>
    <x v="0"/>
    <n v="2017"/>
    <n v="469.99"/>
    <n v="11632.01"/>
  </r>
  <r>
    <n v="34"/>
    <s v="Trek Session DH 27.5 Carbon Frameset - 2017"/>
    <n v="9"/>
    <x v="0"/>
    <n v="2017"/>
    <n v="469.99"/>
    <n v="11632.01"/>
  </r>
  <r>
    <n v="35"/>
    <s v="Sun Bicycles Spider 3i - 2017"/>
    <n v="7"/>
    <x v="0"/>
    <n v="2017"/>
    <n v="832.99"/>
    <n v="11269.01"/>
  </r>
  <r>
    <n v="36"/>
    <s v="Surly Troll Frameset - 2017"/>
    <n v="8"/>
    <x v="0"/>
    <n v="2017"/>
    <n v="832.99"/>
    <n v="11269.01"/>
  </r>
  <r>
    <n v="37"/>
    <s v="Haro Flightline One ST - 2017"/>
    <n v="2"/>
    <x v="0"/>
    <n v="2017"/>
    <n v="379.99"/>
    <n v="11722.01"/>
  </r>
  <r>
    <n v="38"/>
    <s v="Haro Flightline Two 26 Plus - 2017"/>
    <n v="2"/>
    <x v="0"/>
    <n v="2017"/>
    <n v="549.99"/>
    <n v="11552.01"/>
  </r>
  <r>
    <n v="39"/>
    <s v="Trek Stache 5 - 2017"/>
    <n v="9"/>
    <x v="0"/>
    <n v="2017"/>
    <n v="1499.99"/>
    <n v="10602.01"/>
  </r>
  <r>
    <n v="40"/>
    <s v="Trek Fuel EX 9.8 29 - 2017"/>
    <n v="9"/>
    <x v="0"/>
    <n v="2017"/>
    <n v="4999.99"/>
    <n v="7102.01"/>
  </r>
  <r>
    <n v="41"/>
    <s v="Haro Shift R3 - 2017"/>
    <n v="2"/>
    <x v="0"/>
    <n v="2017"/>
    <n v="1469.99"/>
    <n v="10632.01"/>
  </r>
  <r>
    <n v="42"/>
    <s v="Trek Fuel EX 5 27.5 Plus - 2017"/>
    <n v="9"/>
    <x v="0"/>
    <n v="2017"/>
    <n v="2299.9899999999998"/>
    <n v="9802.01"/>
  </r>
  <r>
    <n v="43"/>
    <s v="Trek Fuel EX 9.8 27.5 Plus - 2017"/>
    <n v="9"/>
    <x v="0"/>
    <n v="2017"/>
    <n v="5299.99"/>
    <n v="6802.01"/>
  </r>
  <r>
    <n v="44"/>
    <s v="Haro SR 1.1 - 2017"/>
    <n v="2"/>
    <x v="0"/>
    <n v="2017"/>
    <n v="539.99"/>
    <n v="11562.01"/>
  </r>
  <r>
    <n v="45"/>
    <s v="Haro SR 1.2 - 2017"/>
    <n v="2"/>
    <x v="0"/>
    <n v="2017"/>
    <n v="869.99"/>
    <n v="11232.01"/>
  </r>
  <r>
    <n v="46"/>
    <s v="Haro SR 1.3 - 2017"/>
    <n v="2"/>
    <x v="0"/>
    <n v="2017"/>
    <n v="1409.99"/>
    <n v="10692.01"/>
  </r>
  <r>
    <n v="47"/>
    <s v="Trek Remedy 9.8 - 2017"/>
    <n v="9"/>
    <x v="0"/>
    <n v="2017"/>
    <n v="5299.99"/>
    <n v="6802.01"/>
  </r>
  <r>
    <n v="48"/>
    <s v="Trek Emonda S 4 - 2017"/>
    <n v="9"/>
    <x v="6"/>
    <n v="2017"/>
    <n v="1499.99"/>
    <n v="12619.01"/>
  </r>
  <r>
    <n v="49"/>
    <s v="Trek Domane SL 6 - 2017"/>
    <n v="9"/>
    <x v="6"/>
    <n v="2017"/>
    <n v="3499.99"/>
    <n v="10619.01"/>
  </r>
  <r>
    <n v="50"/>
    <s v="Trek Silque SLR 7 Women's - 2017"/>
    <n v="9"/>
    <x v="6"/>
    <n v="2017"/>
    <n v="5999.99"/>
    <n v="8119.01"/>
  </r>
  <r>
    <n v="51"/>
    <s v="Trek Silque SLR 8 Women's - 2017"/>
    <n v="9"/>
    <x v="6"/>
    <n v="2017"/>
    <n v="6499.99"/>
    <n v="7619.01"/>
  </r>
  <r>
    <n v="52"/>
    <s v="Surly Steamroller - 2017"/>
    <n v="8"/>
    <x v="6"/>
    <n v="2017"/>
    <n v="875.99"/>
    <n v="13243.01"/>
  </r>
  <r>
    <n v="53"/>
    <s v="Surly Ogre Frameset - 2017"/>
    <n v="8"/>
    <x v="6"/>
    <n v="2017"/>
    <n v="749.99"/>
    <n v="13369.01"/>
  </r>
  <r>
    <n v="54"/>
    <s v="Trek Domane SL Disc Frameset - 2017"/>
    <n v="9"/>
    <x v="6"/>
    <n v="2017"/>
    <n v="3199.99"/>
    <n v="10919.01"/>
  </r>
  <r>
    <n v="55"/>
    <s v="Trek Domane S 6 - 2017"/>
    <n v="9"/>
    <x v="6"/>
    <n v="2017"/>
    <n v="2699.99"/>
    <n v="11419.01"/>
  </r>
  <r>
    <n v="56"/>
    <s v="Trek Domane SLR 6 Disc - 2017"/>
    <n v="9"/>
    <x v="6"/>
    <n v="2017"/>
    <n v="5499.99"/>
    <n v="8619.01"/>
  </r>
  <r>
    <n v="57"/>
    <s v="Trek Emonda S 5 - 2017"/>
    <n v="9"/>
    <x v="6"/>
    <n v="2017"/>
    <n v="1999.99"/>
    <n v="12119.01"/>
  </r>
  <r>
    <n v="58"/>
    <s v="Trek Madone 9.2 - 2017"/>
    <n v="9"/>
    <x v="6"/>
    <n v="2017"/>
    <n v="4999.99"/>
    <n v="9119.01"/>
  </r>
  <r>
    <n v="59"/>
    <s v="Trek Domane S 5 Disc - 2017"/>
    <n v="9"/>
    <x v="6"/>
    <n v="2017"/>
    <n v="2599.9899999999998"/>
    <n v="11519.01"/>
  </r>
  <r>
    <n v="60"/>
    <s v="Sun Bicycles ElectroLite - 2017"/>
    <n v="7"/>
    <x v="1"/>
    <n v="2017"/>
    <n v="1559.99"/>
    <n v="8525.01"/>
  </r>
  <r>
    <n v="61"/>
    <s v="Trek Powerfly 8 FS Plus - 2017"/>
    <n v="9"/>
    <x v="1"/>
    <n v="2017"/>
    <n v="4999.99"/>
    <n v="5085.01"/>
  </r>
  <r>
    <n v="62"/>
    <s v="Trek Boone 7 - 2017"/>
    <n v="9"/>
    <x v="2"/>
    <n v="2017"/>
    <n v="3499.99"/>
    <n v="4568.01"/>
  </r>
  <r>
    <n v="63"/>
    <s v="Trek Boone Race Shop Limited - 2017"/>
    <n v="9"/>
    <x v="2"/>
    <n v="2017"/>
    <n v="3499.99"/>
    <n v="4568.01"/>
  </r>
  <r>
    <n v="64"/>
    <s v="Electra Townie Original 7D - 2017"/>
    <n v="1"/>
    <x v="3"/>
    <n v="2017"/>
    <n v="489.99"/>
    <n v="5561.01"/>
  </r>
  <r>
    <n v="65"/>
    <s v="Sun Bicycles Lil Bolt Type-R - 2017"/>
    <n v="7"/>
    <x v="3"/>
    <n v="2017"/>
    <n v="346.99"/>
    <n v="5704.01"/>
  </r>
  <r>
    <n v="66"/>
    <s v="Sun Bicycles Revolutions 24 - 2017"/>
    <n v="7"/>
    <x v="3"/>
    <n v="2017"/>
    <n v="250.99"/>
    <n v="5800.01"/>
  </r>
  <r>
    <n v="67"/>
    <s v="Sun Bicycles Revolutions 24 - Girl's - 2017"/>
    <n v="7"/>
    <x v="3"/>
    <n v="2017"/>
    <n v="250.99"/>
    <n v="5800.01"/>
  </r>
  <r>
    <n v="68"/>
    <s v="Sun Bicycles Cruz 3 - 2017"/>
    <n v="7"/>
    <x v="3"/>
    <n v="2017"/>
    <n v="449.99"/>
    <n v="5601.01"/>
  </r>
  <r>
    <n v="69"/>
    <s v="Sun Bicycles Cruz 7 - 2017"/>
    <n v="7"/>
    <x v="3"/>
    <n v="2017"/>
    <n v="416.99"/>
    <n v="5634.01"/>
  </r>
  <r>
    <n v="70"/>
    <s v="Electra Amsterdam Original 3i - 2015/2017"/>
    <n v="1"/>
    <x v="3"/>
    <n v="2017"/>
    <n v="659.99"/>
    <n v="5391.01"/>
  </r>
  <r>
    <n v="71"/>
    <s v="Sun Bicycles Atlas X-Type - 2017"/>
    <n v="7"/>
    <x v="3"/>
    <n v="2017"/>
    <n v="416.99"/>
    <n v="5634.01"/>
  </r>
  <r>
    <n v="72"/>
    <s v="Sun Bicycles Biscayne Tandem 7 - 2017"/>
    <n v="7"/>
    <x v="3"/>
    <n v="2017"/>
    <n v="619.99"/>
    <n v="5431.01"/>
  </r>
  <r>
    <n v="73"/>
    <s v="Sun Bicycles Brickell Tandem 7 - 2017"/>
    <n v="7"/>
    <x v="3"/>
    <n v="2017"/>
    <n v="749.99"/>
    <n v="5301.01"/>
  </r>
  <r>
    <n v="74"/>
    <s v="Electra Cruiser Lux 1 - 2017"/>
    <n v="1"/>
    <x v="3"/>
    <n v="2017"/>
    <n v="439.99"/>
    <n v="5611.01"/>
  </r>
  <r>
    <n v="75"/>
    <s v="Electra Cruiser Lux Fat Tire 1 Ladies - 2017"/>
    <n v="1"/>
    <x v="3"/>
    <n v="2017"/>
    <n v="599.99"/>
    <n v="5451.01"/>
  </r>
  <r>
    <n v="76"/>
    <s v="Electra Girl's Hawaii 1 16&quot; - 2017"/>
    <n v="1"/>
    <x v="3"/>
    <n v="2017"/>
    <n v="299.99"/>
    <n v="5751.01"/>
  </r>
  <r>
    <n v="77"/>
    <s v="Electra Glam Punk 3i Ladies' - 2017"/>
    <n v="1"/>
    <x v="3"/>
    <n v="2017"/>
    <n v="799.99"/>
    <n v="5251.01"/>
  </r>
  <r>
    <n v="78"/>
    <s v="Sun Bicycles Biscayne Tandem CB - 2017"/>
    <n v="7"/>
    <x v="3"/>
    <n v="2017"/>
    <n v="647.99"/>
    <n v="5403.01"/>
  </r>
  <r>
    <n v="79"/>
    <s v="Sun Bicycles Boardwalk (24-inch Wheels) - 2017"/>
    <n v="7"/>
    <x v="3"/>
    <n v="2017"/>
    <n v="402.99"/>
    <n v="5648.01"/>
  </r>
  <r>
    <n v="80"/>
    <s v="Sun Bicycles Brickell Tandem CB - 2017"/>
    <n v="7"/>
    <x v="3"/>
    <n v="2017"/>
    <n v="761.99"/>
    <n v="5289.01"/>
  </r>
  <r>
    <n v="81"/>
    <s v="Electra Amsterdam Fashion 7i Ladies' - 2017"/>
    <n v="1"/>
    <x v="3"/>
    <n v="2017"/>
    <n v="1099.99"/>
    <n v="4951.01"/>
  </r>
  <r>
    <n v="82"/>
    <s v="Electra Amsterdam Original 3i Ladies' - 2017"/>
    <n v="1"/>
    <x v="3"/>
    <n v="2017"/>
    <n v="659.99"/>
    <n v="5391.01"/>
  </r>
  <r>
    <n v="83"/>
    <s v="Trek Boy's Kickster - 2015/2017"/>
    <n v="9"/>
    <x v="4"/>
    <n v="2017"/>
    <n v="149.99"/>
    <n v="1867.01"/>
  </r>
  <r>
    <n v="84"/>
    <s v="Sun Bicycles Lil Kitt'n - 2017"/>
    <n v="7"/>
    <x v="4"/>
    <n v="2017"/>
    <n v="109.99"/>
    <n v="1907.01"/>
  </r>
  <r>
    <n v="85"/>
    <s v="Haro Downtown 16 - 2017"/>
    <n v="2"/>
    <x v="4"/>
    <n v="2017"/>
    <n v="329.99"/>
    <n v="1687.01"/>
  </r>
  <r>
    <n v="86"/>
    <s v="Trek Girl's Kickster - 2017"/>
    <n v="9"/>
    <x v="4"/>
    <n v="2017"/>
    <n v="149.99"/>
    <n v="1867.01"/>
  </r>
  <r>
    <n v="87"/>
    <s v="Trek Precaliber 12 Boys - 2017"/>
    <n v="9"/>
    <x v="4"/>
    <n v="2017"/>
    <n v="189.99"/>
    <n v="1827.01"/>
  </r>
  <r>
    <n v="88"/>
    <s v="Trek Precaliber 12 Girls - 2017"/>
    <n v="9"/>
    <x v="4"/>
    <n v="2017"/>
    <n v="189.99"/>
    <n v="1827.01"/>
  </r>
  <r>
    <n v="89"/>
    <s v="Trek Precaliber 16 Boys - 2017"/>
    <n v="9"/>
    <x v="4"/>
    <n v="2017"/>
    <n v="209.99"/>
    <n v="1807.01"/>
  </r>
  <r>
    <n v="90"/>
    <s v="Trek Precaliber 16 Girls - 2017"/>
    <n v="9"/>
    <x v="4"/>
    <n v="2017"/>
    <n v="209.99"/>
    <n v="1807.01"/>
  </r>
  <r>
    <n v="91"/>
    <s v="Trek Precaliber 24 (21-Speed) - Girls - 2017"/>
    <n v="9"/>
    <x v="4"/>
    <n v="2017"/>
    <n v="349.99"/>
    <n v="1667.01"/>
  </r>
  <r>
    <n v="92"/>
    <s v="Haro Shredder 20 - 2017"/>
    <n v="2"/>
    <x v="4"/>
    <n v="2017"/>
    <n v="209.99"/>
    <n v="1807.01"/>
  </r>
  <r>
    <n v="93"/>
    <s v="Haro Shredder 20 Girls - 2017"/>
    <n v="2"/>
    <x v="4"/>
    <n v="2017"/>
    <n v="209.99"/>
    <n v="1807.01"/>
  </r>
  <r>
    <n v="94"/>
    <s v="Haro Shredder Pro 20 - 2017"/>
    <n v="2"/>
    <x v="4"/>
    <n v="2017"/>
    <n v="249.99"/>
    <n v="1767.01"/>
  </r>
  <r>
    <n v="95"/>
    <s v="Electra Girl's Hawaii 1 16&quot; - 2017"/>
    <n v="1"/>
    <x v="4"/>
    <n v="2017"/>
    <n v="299.99"/>
    <n v="1717.01"/>
  </r>
  <r>
    <n v="96"/>
    <s v="Electra Moto 3i (20-inch) - Boy's - 2017"/>
    <n v="1"/>
    <x v="4"/>
    <n v="2017"/>
    <n v="349.99"/>
    <n v="1667.01"/>
  </r>
  <r>
    <n v="97"/>
    <s v="Electra Savannah 3i (20-inch) - Girl's - 2017"/>
    <n v="1"/>
    <x v="4"/>
    <n v="2017"/>
    <n v="349.99"/>
    <n v="1667.01"/>
  </r>
  <r>
    <n v="98"/>
    <s v="Electra Straight 8 3i (20-inch) - Boy's - 2017"/>
    <n v="1"/>
    <x v="4"/>
    <n v="2017"/>
    <n v="489.99"/>
    <n v="1527.01"/>
  </r>
  <r>
    <n v="99"/>
    <s v="Electra Sugar Skulls 1 (20-inch) - Girl's - 2017"/>
    <n v="1"/>
    <x v="4"/>
    <n v="2017"/>
    <n v="299.99"/>
    <n v="1717.01"/>
  </r>
  <r>
    <n v="100"/>
    <s v="Electra Townie 3i EQ (20-inch) - Boys' - 2017"/>
    <n v="1"/>
    <x v="4"/>
    <n v="2017"/>
    <n v="489.99"/>
    <n v="1527.01"/>
  </r>
  <r>
    <n v="101"/>
    <s v="Electra Townie 7D (20-inch) - Boys' - 2017"/>
    <n v="1"/>
    <x v="4"/>
    <n v="2017"/>
    <n v="339.99"/>
    <n v="1677.01"/>
  </r>
  <r>
    <n v="102"/>
    <s v="Electra Townie Original 7D - 2017"/>
    <n v="1"/>
    <x v="5"/>
    <n v="2017"/>
    <n v="489.99"/>
    <n v="3544.01"/>
  </r>
  <r>
    <n v="103"/>
    <s v="Sun Bicycles Streamway 3 - 2017"/>
    <n v="7"/>
    <x v="5"/>
    <n v="2017"/>
    <n v="551.99"/>
    <n v="3482.01"/>
  </r>
  <r>
    <n v="104"/>
    <s v="Sun Bicycles Streamway - 2017"/>
    <n v="7"/>
    <x v="5"/>
    <n v="2017"/>
    <n v="481.99"/>
    <n v="3552.01"/>
  </r>
  <r>
    <n v="105"/>
    <s v="Sun Bicycles Streamway 7 - 2017"/>
    <n v="7"/>
    <x v="5"/>
    <n v="2017"/>
    <n v="533.99"/>
    <n v="3500.01"/>
  </r>
  <r>
    <n v="106"/>
    <s v="Sun Bicycles Cruz 3 - 2017"/>
    <n v="7"/>
    <x v="5"/>
    <n v="2017"/>
    <n v="449.99"/>
    <n v="3584.01"/>
  </r>
  <r>
    <n v="107"/>
    <s v="Sun Bicycles Cruz 7 - 2017"/>
    <n v="7"/>
    <x v="5"/>
    <n v="2017"/>
    <n v="416.99"/>
    <n v="3617.01"/>
  </r>
  <r>
    <n v="108"/>
    <s v="Sun Bicycles Cruz 3 - Women's - 2017"/>
    <n v="7"/>
    <x v="5"/>
    <n v="2017"/>
    <n v="449.99"/>
    <n v="3584.01"/>
  </r>
  <r>
    <n v="109"/>
    <s v="Sun Bicycles Cruz 7 - Women's - 2017"/>
    <n v="7"/>
    <x v="5"/>
    <n v="2017"/>
    <n v="416.99"/>
    <n v="3617.01"/>
  </r>
  <r>
    <n v="110"/>
    <s v="Sun Bicycles Drifter 7 - 2017"/>
    <n v="7"/>
    <x v="5"/>
    <n v="2017"/>
    <n v="470.99"/>
    <n v="3563.01"/>
  </r>
  <r>
    <n v="111"/>
    <s v="Sun Bicycles Drifter 7 - Women's - 2017"/>
    <n v="7"/>
    <x v="5"/>
    <n v="2017"/>
    <n v="470.99"/>
    <n v="3563.01"/>
  </r>
  <r>
    <n v="112"/>
    <s v="Trek 820 - 2018"/>
    <n v="9"/>
    <x v="0"/>
    <n v="2018"/>
    <n v="379.99"/>
    <n v="11728.01"/>
  </r>
  <r>
    <n v="113"/>
    <s v="Trek Marlin 5 - 2018"/>
    <n v="9"/>
    <x v="0"/>
    <n v="2018"/>
    <n v="489.99"/>
    <n v="11618.01"/>
  </r>
  <r>
    <n v="114"/>
    <s v="Trek Marlin 6 - 2018"/>
    <n v="9"/>
    <x v="0"/>
    <n v="2018"/>
    <n v="579.99"/>
    <n v="11528.01"/>
  </r>
  <r>
    <n v="115"/>
    <s v="Trek Fuel EX 8 29 - 2018"/>
    <n v="9"/>
    <x v="0"/>
    <n v="2018"/>
    <n v="3199.99"/>
    <n v="8908.01"/>
  </r>
  <r>
    <n v="116"/>
    <s v="Trek Marlin 7 - 2017/2018"/>
    <n v="9"/>
    <x v="0"/>
    <n v="2018"/>
    <n v="749.99"/>
    <n v="11358.01"/>
  </r>
  <r>
    <n v="117"/>
    <s v="Trek Ticket S Frame - 2018"/>
    <n v="9"/>
    <x v="0"/>
    <n v="2018"/>
    <n v="1469.99"/>
    <n v="10638.01"/>
  </r>
  <r>
    <n v="118"/>
    <s v="Trek X-Caliber 8 - 2018"/>
    <n v="9"/>
    <x v="0"/>
    <n v="2018"/>
    <n v="999.99"/>
    <n v="11108.01"/>
  </r>
  <r>
    <n v="119"/>
    <s v="Trek Kids' Neko - 2018"/>
    <n v="9"/>
    <x v="0"/>
    <n v="2018"/>
    <n v="469.99"/>
    <n v="11638.01"/>
  </r>
  <r>
    <n v="120"/>
    <s v="Trek Fuel EX 7 29 - 2018"/>
    <n v="9"/>
    <x v="0"/>
    <n v="2018"/>
    <n v="2499.9899999999998"/>
    <n v="9608.01"/>
  </r>
  <r>
    <n v="121"/>
    <s v="Surly Krampus Frameset - 2018"/>
    <n v="8"/>
    <x v="0"/>
    <n v="2018"/>
    <n v="2499.9899999999998"/>
    <n v="9608.01"/>
  </r>
  <r>
    <n v="122"/>
    <s v="Surly Troll Frameset - 2018"/>
    <n v="8"/>
    <x v="0"/>
    <n v="2018"/>
    <n v="2499.9899999999998"/>
    <n v="9608.01"/>
  </r>
  <r>
    <n v="123"/>
    <s v="Trek Farley Carbon Frameset - 2018"/>
    <n v="9"/>
    <x v="0"/>
    <n v="2018"/>
    <n v="999.99"/>
    <n v="11108.01"/>
  </r>
  <r>
    <n v="124"/>
    <s v="Surly Krampus - 2018"/>
    <n v="8"/>
    <x v="0"/>
    <n v="2018"/>
    <n v="1499"/>
    <n v="10609"/>
  </r>
  <r>
    <n v="125"/>
    <s v="Trek Kids' Dual Sport - 2018"/>
    <n v="9"/>
    <x v="0"/>
    <n v="2018"/>
    <n v="469.99"/>
    <n v="11638.01"/>
  </r>
  <r>
    <n v="126"/>
    <s v="Surly Big Fat Dummy Frameset - 2018"/>
    <n v="8"/>
    <x v="0"/>
    <n v="2018"/>
    <n v="469.99"/>
    <n v="11638.01"/>
  </r>
  <r>
    <n v="127"/>
    <s v="Surly Pack Rat Frameset - 2018"/>
    <n v="8"/>
    <x v="0"/>
    <n v="2018"/>
    <n v="469.99"/>
    <n v="11638.01"/>
  </r>
  <r>
    <n v="128"/>
    <s v="Surly ECR 27.5 - 2018"/>
    <n v="8"/>
    <x v="0"/>
    <n v="2018"/>
    <n v="1899"/>
    <n v="10209"/>
  </r>
  <r>
    <n v="129"/>
    <s v="Trek X-Caliber 7 - 2018"/>
    <n v="9"/>
    <x v="0"/>
    <n v="2018"/>
    <n v="919.99"/>
    <n v="11188.01"/>
  </r>
  <r>
    <n v="130"/>
    <s v="Trek Stache Carbon Frameset - 2018"/>
    <n v="9"/>
    <x v="0"/>
    <n v="2018"/>
    <n v="919.99"/>
    <n v="11188.01"/>
  </r>
  <r>
    <n v="131"/>
    <s v="Heller Bloodhound Trail - 2018"/>
    <n v="3"/>
    <x v="0"/>
    <n v="2018"/>
    <n v="2599"/>
    <n v="9509"/>
  </r>
  <r>
    <n v="132"/>
    <s v="Trek Procal AL Frameset - 2018"/>
    <n v="9"/>
    <x v="0"/>
    <n v="2018"/>
    <n v="1499.99"/>
    <n v="10608.01"/>
  </r>
  <r>
    <n v="133"/>
    <s v="Trek Procaliber Frameset - 2018"/>
    <n v="9"/>
    <x v="0"/>
    <n v="2018"/>
    <n v="1499.99"/>
    <n v="10608.01"/>
  </r>
  <r>
    <n v="134"/>
    <s v="Trek Remedy 27.5 C Frameset - 2018"/>
    <n v="9"/>
    <x v="0"/>
    <n v="2018"/>
    <n v="1499.99"/>
    <n v="10608.01"/>
  </r>
  <r>
    <n v="135"/>
    <s v="Trek X-Caliber Frameset - 2018"/>
    <n v="9"/>
    <x v="0"/>
    <n v="2018"/>
    <n v="1499.99"/>
    <n v="10608.01"/>
  </r>
  <r>
    <n v="136"/>
    <s v="Trek Procaliber 6 - 2018"/>
    <n v="9"/>
    <x v="0"/>
    <n v="2018"/>
    <n v="1799.99"/>
    <n v="10308.01"/>
  </r>
  <r>
    <n v="137"/>
    <s v="Heller Shagamaw GX1 - 2018"/>
    <n v="3"/>
    <x v="0"/>
    <n v="2018"/>
    <n v="2599"/>
    <n v="9509"/>
  </r>
  <r>
    <n v="138"/>
    <s v="Trek Fuel EX 5 Plus - 2018"/>
    <n v="9"/>
    <x v="0"/>
    <n v="2018"/>
    <n v="2249.9899999999998"/>
    <n v="9858.01"/>
  </r>
  <r>
    <n v="139"/>
    <s v="Trek Remedy 7 27.5 - 2018"/>
    <n v="9"/>
    <x v="0"/>
    <n v="2018"/>
    <n v="2999.99"/>
    <n v="9108.01"/>
  </r>
  <r>
    <n v="140"/>
    <s v="Trek Remedy 9.8 27.5 - 2018"/>
    <n v="9"/>
    <x v="0"/>
    <n v="2018"/>
    <n v="4999.99"/>
    <n v="7108.01"/>
  </r>
  <r>
    <n v="141"/>
    <s v="Trek Stache 5 - 2018"/>
    <n v="9"/>
    <x v="0"/>
    <n v="2018"/>
    <n v="1599.99"/>
    <n v="10508.01"/>
  </r>
  <r>
    <n v="142"/>
    <s v="Trek Fuel EX 8 29 XT - 2018"/>
    <n v="9"/>
    <x v="0"/>
    <n v="2018"/>
    <n v="3199.99"/>
    <n v="8908.01"/>
  </r>
  <r>
    <n v="143"/>
    <s v="Trek Domane ALR 3 - 2018"/>
    <n v="9"/>
    <x v="6"/>
    <n v="2018"/>
    <n v="1099.99"/>
    <n v="13026.01"/>
  </r>
  <r>
    <n v="144"/>
    <s v="Trek Domane ALR 4 Disc - 2018"/>
    <n v="9"/>
    <x v="6"/>
    <n v="2018"/>
    <n v="1549.99"/>
    <n v="12576.01"/>
  </r>
  <r>
    <n v="145"/>
    <s v="Trek Domane ALR 5 Disc - 2018"/>
    <n v="9"/>
    <x v="6"/>
    <n v="2018"/>
    <n v="1799.99"/>
    <n v="12326.01"/>
  </r>
  <r>
    <n v="146"/>
    <s v="Trek Domane SLR 6 - 2018"/>
    <n v="9"/>
    <x v="6"/>
    <n v="2018"/>
    <n v="4999.99"/>
    <n v="9126.01"/>
  </r>
  <r>
    <n v="147"/>
    <s v="Trek Domane ALR 5 Gravel - 2018"/>
    <n v="9"/>
    <x v="6"/>
    <n v="2018"/>
    <n v="1799.99"/>
    <n v="12326.01"/>
  </r>
  <r>
    <n v="148"/>
    <s v="Trek Domane SL 8 Disc - 2018"/>
    <n v="9"/>
    <x v="6"/>
    <n v="2018"/>
    <n v="5499.99"/>
    <n v="8626.01"/>
  </r>
  <r>
    <n v="149"/>
    <s v="Trek Domane SLR 8 Disc - 2018"/>
    <n v="9"/>
    <x v="6"/>
    <n v="2018"/>
    <n v="7499.99"/>
    <n v="6626.01"/>
  </r>
  <r>
    <n v="150"/>
    <s v="Trek Emonda SL 7 - 2018"/>
    <n v="9"/>
    <x v="6"/>
    <n v="2018"/>
    <n v="4499.99"/>
    <n v="9626.01"/>
  </r>
  <r>
    <n v="151"/>
    <s v="Trek Domane ALR 4 Disc Women's - 2018"/>
    <n v="9"/>
    <x v="6"/>
    <n v="2018"/>
    <n v="1549.99"/>
    <n v="12576.01"/>
  </r>
  <r>
    <n v="152"/>
    <s v="Trek Domane SL 5 Disc Women's - 2018"/>
    <n v="9"/>
    <x v="6"/>
    <n v="2018"/>
    <n v="2499.9899999999998"/>
    <n v="11626.01"/>
  </r>
  <r>
    <n v="153"/>
    <s v="Trek Domane SL 7 Women's - 2018"/>
    <n v="9"/>
    <x v="6"/>
    <n v="2018"/>
    <n v="4999.99"/>
    <n v="9126.01"/>
  </r>
  <r>
    <n v="154"/>
    <s v="Trek Domane SLR 6 Disc Women's - 2018"/>
    <n v="9"/>
    <x v="6"/>
    <n v="2018"/>
    <n v="5499.99"/>
    <n v="8626.01"/>
  </r>
  <r>
    <n v="155"/>
    <s v="Trek Domane SLR 9 Disc - 2018"/>
    <n v="9"/>
    <x v="6"/>
    <n v="2018"/>
    <n v="11999.99"/>
    <n v="2126.0100000000002"/>
  </r>
  <r>
    <n v="156"/>
    <s v="Trek Domane SL Frameset - 2018"/>
    <n v="9"/>
    <x v="6"/>
    <n v="2018"/>
    <n v="6499.99"/>
    <n v="7626.01"/>
  </r>
  <r>
    <n v="157"/>
    <s v="Trek Domane SL Frameset Women's - 2018"/>
    <n v="9"/>
    <x v="6"/>
    <n v="2018"/>
    <n v="6499.99"/>
    <n v="7626.01"/>
  </r>
  <r>
    <n v="158"/>
    <s v="Trek CrossRip 1 - 2018"/>
    <n v="9"/>
    <x v="6"/>
    <n v="2018"/>
    <n v="959.99"/>
    <n v="13166.01"/>
  </r>
  <r>
    <n v="159"/>
    <s v="Trek Emonda ALR 6 - 2018"/>
    <n v="9"/>
    <x v="6"/>
    <n v="2018"/>
    <n v="2299.9899999999998"/>
    <n v="11826.01"/>
  </r>
  <r>
    <n v="160"/>
    <s v="Trek Emonda SLR 6 - 2018"/>
    <n v="9"/>
    <x v="6"/>
    <n v="2018"/>
    <n v="4499.99"/>
    <n v="9626.01"/>
  </r>
  <r>
    <n v="161"/>
    <s v="Surly ECR - 2018"/>
    <n v="8"/>
    <x v="6"/>
    <n v="2018"/>
    <n v="1899"/>
    <n v="12227"/>
  </r>
  <r>
    <n v="162"/>
    <s v="Trek Emonda SL 6 Disc - 2018"/>
    <n v="9"/>
    <x v="6"/>
    <n v="2018"/>
    <n v="2999.99"/>
    <n v="11126.01"/>
  </r>
  <r>
    <n v="163"/>
    <s v="Surly Pack Rat - 2018"/>
    <n v="8"/>
    <x v="6"/>
    <n v="2018"/>
    <n v="1349"/>
    <n v="12777"/>
  </r>
  <r>
    <n v="164"/>
    <s v="Surly Straggler 650b - 2018"/>
    <n v="8"/>
    <x v="6"/>
    <n v="2018"/>
    <n v="1549"/>
    <n v="12577"/>
  </r>
  <r>
    <n v="165"/>
    <s v="Trek 1120 - 2018"/>
    <n v="9"/>
    <x v="6"/>
    <n v="2018"/>
    <n v="2499.9899999999998"/>
    <n v="11626.01"/>
  </r>
  <r>
    <n v="166"/>
    <s v="Trek Domane AL 2 Women's - 2018"/>
    <n v="9"/>
    <x v="6"/>
    <n v="2018"/>
    <n v="749.99"/>
    <n v="13376.01"/>
  </r>
  <r>
    <n v="167"/>
    <s v="Surly ECR Frameset - 2018"/>
    <n v="8"/>
    <x v="6"/>
    <n v="2018"/>
    <n v="749.99"/>
    <n v="13376.01"/>
  </r>
  <r>
    <n v="168"/>
    <s v="Surly Straggler - 2018"/>
    <n v="8"/>
    <x v="6"/>
    <n v="2018"/>
    <n v="1549"/>
    <n v="12577"/>
  </r>
  <r>
    <n v="169"/>
    <s v="Trek Emonda SLR 8 - 2018"/>
    <n v="9"/>
    <x v="6"/>
    <n v="2018"/>
    <n v="6499.99"/>
    <n v="7626.01"/>
  </r>
  <r>
    <n v="170"/>
    <s v="Trek CrossRip 2 - 2018"/>
    <n v="9"/>
    <x v="6"/>
    <n v="2018"/>
    <n v="1299.99"/>
    <n v="12826.01"/>
  </r>
  <r>
    <n v="171"/>
    <s v="Trek Domane SL 6 - 2018"/>
    <n v="9"/>
    <x v="6"/>
    <n v="2018"/>
    <n v="3199.99"/>
    <n v="10926.01"/>
  </r>
  <r>
    <n v="172"/>
    <s v="Trek Domane ALR Disc Frameset - 2018"/>
    <n v="9"/>
    <x v="6"/>
    <n v="2018"/>
    <n v="3199.99"/>
    <n v="10926.01"/>
  </r>
  <r>
    <n v="173"/>
    <s v="Trek Domane ALR Frameset - 2018"/>
    <n v="9"/>
    <x v="6"/>
    <n v="2018"/>
    <n v="3199.99"/>
    <n v="10926.01"/>
  </r>
  <r>
    <n v="174"/>
    <s v="Trek Domane SLR Disc Frameset - 2018"/>
    <n v="9"/>
    <x v="6"/>
    <n v="2018"/>
    <n v="3199.99"/>
    <n v="10926.01"/>
  </r>
  <r>
    <n v="175"/>
    <s v="Trek Domane SLR Frameset - 2018"/>
    <n v="9"/>
    <x v="6"/>
    <n v="2018"/>
    <n v="3199.99"/>
    <n v="10926.01"/>
  </r>
  <r>
    <n v="176"/>
    <s v="Trek Madone 9 Frameset - 2018"/>
    <n v="9"/>
    <x v="6"/>
    <n v="2018"/>
    <n v="3199.99"/>
    <n v="10926.01"/>
  </r>
  <r>
    <n v="177"/>
    <s v="Trek Domane SLR 6 Disc - 2018"/>
    <n v="9"/>
    <x v="6"/>
    <n v="2018"/>
    <n v="5499.99"/>
    <n v="8626.01"/>
  </r>
  <r>
    <n v="178"/>
    <s v="Trek Domane AL 2 - 2018"/>
    <n v="9"/>
    <x v="6"/>
    <n v="2018"/>
    <n v="749.99"/>
    <n v="13376.01"/>
  </r>
  <r>
    <n v="179"/>
    <s v="Trek Domane AL 3 - 2018"/>
    <n v="9"/>
    <x v="6"/>
    <n v="2018"/>
    <n v="919.99"/>
    <n v="13206.01"/>
  </r>
  <r>
    <n v="180"/>
    <s v="Trek Domane AL 3 Women's - 2018"/>
    <n v="9"/>
    <x v="6"/>
    <n v="2018"/>
    <n v="919.99"/>
    <n v="13206.01"/>
  </r>
  <r>
    <n v="181"/>
    <s v="Trek Domane SL 5 - 2018"/>
    <n v="9"/>
    <x v="6"/>
    <n v="2018"/>
    <n v="2199.9899999999998"/>
    <n v="11926.01"/>
  </r>
  <r>
    <n v="182"/>
    <s v="Trek Domane SL 5 Disc - 2018"/>
    <n v="9"/>
    <x v="6"/>
    <n v="2018"/>
    <n v="2499.9899999999998"/>
    <n v="11626.01"/>
  </r>
  <r>
    <n v="183"/>
    <s v="Trek Domane SL 5 Women's - 2018"/>
    <n v="9"/>
    <x v="6"/>
    <n v="2018"/>
    <n v="2199.9899999999998"/>
    <n v="11926.01"/>
  </r>
  <r>
    <n v="184"/>
    <s v="Trek Domane SL 6 Disc - 2018"/>
    <n v="9"/>
    <x v="6"/>
    <n v="2018"/>
    <n v="3499.99"/>
    <n v="10626.01"/>
  </r>
  <r>
    <n v="185"/>
    <s v="Trek Conduit+ - 2018"/>
    <n v="9"/>
    <x v="1"/>
    <n v="2018"/>
    <n v="2799.99"/>
    <n v="7290.01"/>
  </r>
  <r>
    <n v="186"/>
    <s v="Trek CrossRip+ - 2018"/>
    <n v="9"/>
    <x v="1"/>
    <n v="2018"/>
    <n v="4499.99"/>
    <n v="5590.01"/>
  </r>
  <r>
    <n v="187"/>
    <s v="Trek Neko+ - 2018"/>
    <n v="9"/>
    <x v="1"/>
    <n v="2018"/>
    <n v="2799.99"/>
    <n v="7290.01"/>
  </r>
  <r>
    <n v="188"/>
    <s v="Trek XM700+ Lowstep - 2018"/>
    <n v="9"/>
    <x v="1"/>
    <n v="2018"/>
    <n v="3499.99"/>
    <n v="6590.01"/>
  </r>
  <r>
    <n v="189"/>
    <s v="Trek Lift+ Lowstep - 2018"/>
    <n v="9"/>
    <x v="1"/>
    <n v="2018"/>
    <n v="2799.99"/>
    <n v="7290.01"/>
  </r>
  <r>
    <n v="190"/>
    <s v="Trek Dual Sport+ - 2018"/>
    <n v="9"/>
    <x v="1"/>
    <n v="2018"/>
    <n v="2799.99"/>
    <n v="7290.01"/>
  </r>
  <r>
    <n v="191"/>
    <s v="Electra Loft Go! 8i - 2018"/>
    <n v="1"/>
    <x v="1"/>
    <n v="2018"/>
    <n v="2799.99"/>
    <n v="7290.01"/>
  </r>
  <r>
    <n v="192"/>
    <s v="Electra Townie Go! 8i - 2017/2018"/>
    <n v="1"/>
    <x v="1"/>
    <n v="2018"/>
    <n v="2599.9899999999998"/>
    <n v="7490.01"/>
  </r>
  <r>
    <n v="193"/>
    <s v="Trek Lift+ - 2018"/>
    <n v="9"/>
    <x v="1"/>
    <n v="2018"/>
    <n v="2799.99"/>
    <n v="7290.01"/>
  </r>
  <r>
    <n v="194"/>
    <s v="Trek XM700+ - 2018"/>
    <n v="9"/>
    <x v="1"/>
    <n v="2018"/>
    <n v="3499.99"/>
    <n v="6590.01"/>
  </r>
  <r>
    <n v="195"/>
    <s v="Electra Townie Go! 8i Ladies' - 2018"/>
    <n v="1"/>
    <x v="1"/>
    <n v="2018"/>
    <n v="2599.9899999999998"/>
    <n v="7490.01"/>
  </r>
  <r>
    <n v="196"/>
    <s v="Trek Verve+ - 2018"/>
    <n v="9"/>
    <x v="1"/>
    <n v="2018"/>
    <n v="2299.9899999999998"/>
    <n v="7790.01"/>
  </r>
  <r>
    <n v="197"/>
    <s v="Trek Verve+ Lowstep - 2018"/>
    <n v="9"/>
    <x v="1"/>
    <n v="2018"/>
    <n v="2299.9899999999998"/>
    <n v="7790.01"/>
  </r>
  <r>
    <n v="198"/>
    <s v="Electra Townie Commute Go! - 2018"/>
    <n v="1"/>
    <x v="1"/>
    <n v="2018"/>
    <n v="2999.99"/>
    <n v="7090.01"/>
  </r>
  <r>
    <n v="199"/>
    <s v="Electra Townie Commute Go! Ladies' - 2018"/>
    <n v="1"/>
    <x v="1"/>
    <n v="2018"/>
    <n v="2999.99"/>
    <n v="7090.01"/>
  </r>
  <r>
    <n v="200"/>
    <s v="Trek Powerfly 5 - 2018"/>
    <n v="9"/>
    <x v="1"/>
    <n v="2018"/>
    <n v="3499.99"/>
    <n v="6590.01"/>
  </r>
  <r>
    <n v="201"/>
    <s v="Trek Powerfly 5 FS - 2018"/>
    <n v="9"/>
    <x v="1"/>
    <n v="2018"/>
    <n v="4499.99"/>
    <n v="5590.01"/>
  </r>
  <r>
    <n v="202"/>
    <s v="Trek Powerfly 5 Women's - 2018"/>
    <n v="9"/>
    <x v="1"/>
    <n v="2018"/>
    <n v="3499.99"/>
    <n v="6590.01"/>
  </r>
  <r>
    <n v="203"/>
    <s v="Trek Powerfly 7 FS - 2018"/>
    <n v="9"/>
    <x v="1"/>
    <n v="2018"/>
    <n v="4999.99"/>
    <n v="5090.01"/>
  </r>
  <r>
    <n v="204"/>
    <s v="Trek Super Commuter+ 7 - 2018"/>
    <n v="9"/>
    <x v="1"/>
    <n v="2018"/>
    <n v="3599.99"/>
    <n v="6490.01"/>
  </r>
  <r>
    <n v="205"/>
    <s v="Trek Super Commuter+ 8S - 2018"/>
    <n v="9"/>
    <x v="1"/>
    <n v="2018"/>
    <n v="4999.99"/>
    <n v="5090.01"/>
  </r>
  <r>
    <n v="206"/>
    <s v="Trek Boone 5 Disc - 2018"/>
    <n v="9"/>
    <x v="2"/>
    <n v="2018"/>
    <n v="3299.99"/>
    <n v="4772.01"/>
  </r>
  <r>
    <n v="207"/>
    <s v="Trek Boone 7 Disc - 2018"/>
    <n v="9"/>
    <x v="2"/>
    <n v="2018"/>
    <n v="3999.99"/>
    <n v="4072.01"/>
  </r>
  <r>
    <n v="208"/>
    <s v="Trek Crockett 5 Disc - 2018"/>
    <n v="9"/>
    <x v="2"/>
    <n v="2018"/>
    <n v="1799.99"/>
    <n v="6272.01"/>
  </r>
  <r>
    <n v="209"/>
    <s v="Trek Crockett 7 Disc - 2018"/>
    <n v="9"/>
    <x v="2"/>
    <n v="2018"/>
    <n v="2999.99"/>
    <n v="5072.01"/>
  </r>
  <r>
    <n v="210"/>
    <s v="Surly Straggler - 2018"/>
    <n v="8"/>
    <x v="2"/>
    <n v="2018"/>
    <n v="1549"/>
    <n v="6523"/>
  </r>
  <r>
    <n v="211"/>
    <s v="Surly Straggler 650b - 2018"/>
    <n v="8"/>
    <x v="2"/>
    <n v="2018"/>
    <n v="1549"/>
    <n v="6523"/>
  </r>
  <r>
    <n v="212"/>
    <s v="Electra Townie Original 21D - 2018"/>
    <n v="1"/>
    <x v="3"/>
    <n v="2018"/>
    <n v="559.99"/>
    <n v="5494.01"/>
  </r>
  <r>
    <n v="213"/>
    <s v="Electra Cruiser 1 - 2016/2017/2018"/>
    <n v="1"/>
    <x v="3"/>
    <n v="2018"/>
    <n v="269.99"/>
    <n v="5784.01"/>
  </r>
  <r>
    <n v="214"/>
    <s v="Electra Tiger Shark 3i - 2018"/>
    <n v="1"/>
    <x v="3"/>
    <n v="2018"/>
    <n v="899.99"/>
    <n v="5154.01"/>
  </r>
  <r>
    <n v="215"/>
    <s v="Electra Queen of Hearts 3i - 2018"/>
    <n v="1"/>
    <x v="3"/>
    <n v="2018"/>
    <n v="749.99"/>
    <n v="5304.01"/>
  </r>
  <r>
    <n v="216"/>
    <s v="Electra Super Moto 8i - 2018"/>
    <n v="1"/>
    <x v="3"/>
    <n v="2018"/>
    <n v="899.99"/>
    <n v="5154.01"/>
  </r>
  <r>
    <n v="217"/>
    <s v="Electra Straight 8 3i - 2018"/>
    <n v="1"/>
    <x v="3"/>
    <n v="2018"/>
    <n v="909.99"/>
    <n v="5144.01"/>
  </r>
  <r>
    <n v="218"/>
    <s v="Electra Cruiser 7D - 2016/2017/2018"/>
    <n v="1"/>
    <x v="3"/>
    <n v="2018"/>
    <n v="319.99"/>
    <n v="5734.01"/>
  </r>
  <r>
    <n v="219"/>
    <s v="Electra Moto 3i - 2018"/>
    <n v="1"/>
    <x v="3"/>
    <n v="2018"/>
    <n v="639.99"/>
    <n v="5414.01"/>
  </r>
  <r>
    <n v="220"/>
    <s v="Electra Cruiser 1 Ladies' - 2018"/>
    <n v="1"/>
    <x v="3"/>
    <n v="2018"/>
    <n v="269.99"/>
    <n v="5784.01"/>
  </r>
  <r>
    <n v="221"/>
    <s v="Electra Cruiser 7D Ladies' - 2016/2018"/>
    <n v="1"/>
    <x v="3"/>
    <n v="2018"/>
    <n v="319.99"/>
    <n v="5734.01"/>
  </r>
  <r>
    <n v="222"/>
    <s v="Electra Cruiser 1 Tall - 2016/2018"/>
    <n v="1"/>
    <x v="3"/>
    <n v="2018"/>
    <n v="269.99"/>
    <n v="5784.01"/>
  </r>
  <r>
    <n v="223"/>
    <s v="Electra Cruiser Lux 3i - 2018"/>
    <n v="1"/>
    <x v="3"/>
    <n v="2018"/>
    <n v="529.99"/>
    <n v="5524.01"/>
  </r>
  <r>
    <n v="224"/>
    <s v="Electra Cruiser Lux 7D - 2018"/>
    <n v="1"/>
    <x v="3"/>
    <n v="2018"/>
    <n v="479.99"/>
    <n v="5574.01"/>
  </r>
  <r>
    <n v="225"/>
    <s v="Electra Delivery 3i - 2016/2017/2018"/>
    <n v="1"/>
    <x v="3"/>
    <n v="2018"/>
    <n v="959.99"/>
    <n v="5094.01"/>
  </r>
  <r>
    <n v="226"/>
    <s v="Electra Townie Original 21D EQ - 2017/2018"/>
    <n v="1"/>
    <x v="3"/>
    <n v="2018"/>
    <n v="679.99"/>
    <n v="5374.01"/>
  </r>
  <r>
    <n v="227"/>
    <s v="Electra Cruiser 7D (24-Inch) Ladies' - 2016/2018"/>
    <n v="1"/>
    <x v="3"/>
    <n v="2018"/>
    <n v="319.99"/>
    <n v="5734.01"/>
  </r>
  <r>
    <n v="228"/>
    <s v="Electra Cruiser 7D Tall - 2016/2018"/>
    <n v="1"/>
    <x v="3"/>
    <n v="2018"/>
    <n v="319.99"/>
    <n v="5734.01"/>
  </r>
  <r>
    <n v="229"/>
    <s v="Electra Cruiser Lux 1 - 2016/2018"/>
    <n v="1"/>
    <x v="3"/>
    <n v="2018"/>
    <n v="429.99"/>
    <n v="5624.01"/>
  </r>
  <r>
    <n v="230"/>
    <s v="Electra Cruiser Lux 1 Ladies' - 2018"/>
    <n v="1"/>
    <x v="3"/>
    <n v="2018"/>
    <n v="429.99"/>
    <n v="5624.01"/>
  </r>
  <r>
    <n v="231"/>
    <s v="Electra Cruiser Lux 3i Ladies' - 2018"/>
    <n v="1"/>
    <x v="3"/>
    <n v="2018"/>
    <n v="529.99"/>
    <n v="5524.01"/>
  </r>
  <r>
    <n v="232"/>
    <s v="Electra Cruiser Lux 7D Ladies' - 2018"/>
    <n v="1"/>
    <x v="3"/>
    <n v="2018"/>
    <n v="479.99"/>
    <n v="5574.01"/>
  </r>
  <r>
    <n v="233"/>
    <s v="Electra Cruiser Lux Fat Tire 7D - 2018"/>
    <n v="1"/>
    <x v="3"/>
    <n v="2018"/>
    <n v="639.99"/>
    <n v="5414.01"/>
  </r>
  <r>
    <n v="234"/>
    <s v="Electra Daydreamer 3i Ladies' - 2018"/>
    <n v="1"/>
    <x v="3"/>
    <n v="2018"/>
    <n v="899.99"/>
    <n v="5154.01"/>
  </r>
  <r>
    <n v="235"/>
    <s v="Electra Koa 3i Ladies' - 2018"/>
    <n v="1"/>
    <x v="3"/>
    <n v="2018"/>
    <n v="899.99"/>
    <n v="5154.01"/>
  </r>
  <r>
    <n v="236"/>
    <s v="Electra Morningstar 3i Ladies' - 2018"/>
    <n v="1"/>
    <x v="3"/>
    <n v="2018"/>
    <n v="749.99"/>
    <n v="5304.01"/>
  </r>
  <r>
    <n v="237"/>
    <s v="Electra Relic 3i - 2018"/>
    <n v="1"/>
    <x v="3"/>
    <n v="2018"/>
    <n v="849.99"/>
    <n v="5204.01"/>
  </r>
  <r>
    <n v="238"/>
    <s v="Electra Townie Balloon 8D EQ - 2016/2017/2018"/>
    <n v="1"/>
    <x v="3"/>
    <n v="2018"/>
    <n v="749.99"/>
    <n v="5304.01"/>
  </r>
  <r>
    <n v="239"/>
    <s v="Electra Townie Balloon 8D EQ Ladies' - 2016/2017/2018"/>
    <n v="1"/>
    <x v="3"/>
    <n v="2018"/>
    <n v="749.99"/>
    <n v="5304.01"/>
  </r>
  <r>
    <n v="240"/>
    <s v="Electra Townie Commute 27D Ladies - 2018"/>
    <n v="1"/>
    <x v="3"/>
    <n v="2018"/>
    <n v="899.99"/>
    <n v="5154.01"/>
  </r>
  <r>
    <n v="241"/>
    <s v="Electra Townie Commute 8D - 2018"/>
    <n v="1"/>
    <x v="3"/>
    <n v="2018"/>
    <n v="749.99"/>
    <n v="5304.01"/>
  </r>
  <r>
    <n v="242"/>
    <s v="Electra Townie Commute 8D Ladies' - 2018"/>
    <n v="1"/>
    <x v="3"/>
    <n v="2018"/>
    <n v="699.99"/>
    <n v="5354.01"/>
  </r>
  <r>
    <n v="243"/>
    <s v="Electra Townie Original 21D EQ Ladies' - 2018"/>
    <n v="1"/>
    <x v="3"/>
    <n v="2018"/>
    <n v="679.99"/>
    <n v="5374.01"/>
  </r>
  <r>
    <n v="244"/>
    <s v="Electra Townie Original 21D Ladies' - 2018"/>
    <n v="1"/>
    <x v="3"/>
    <n v="2018"/>
    <n v="559.99"/>
    <n v="5494.01"/>
  </r>
  <r>
    <n v="245"/>
    <s v="Electra Townie Original 3i EQ - 2017/2018"/>
    <n v="1"/>
    <x v="3"/>
    <n v="2018"/>
    <n v="659.99"/>
    <n v="5394.01"/>
  </r>
  <r>
    <n v="246"/>
    <s v="Electra Townie Original 3i EQ Ladies' - 2018"/>
    <n v="1"/>
    <x v="3"/>
    <n v="2018"/>
    <n v="639.99"/>
    <n v="5414.01"/>
  </r>
  <r>
    <n v="247"/>
    <s v="Electra Townie Original 7D EQ - 2018"/>
    <n v="1"/>
    <x v="3"/>
    <n v="2018"/>
    <n v="599.99"/>
    <n v="5454.01"/>
  </r>
  <r>
    <n v="248"/>
    <s v="Electra Townie Original 7D EQ Ladies' - 2017/2018"/>
    <n v="1"/>
    <x v="3"/>
    <n v="2018"/>
    <n v="599.99"/>
    <n v="5454.01"/>
  </r>
  <r>
    <n v="249"/>
    <s v="Electra White Water 3i - 2018"/>
    <n v="1"/>
    <x v="3"/>
    <n v="2018"/>
    <n v="749.99"/>
    <n v="5304.01"/>
  </r>
  <r>
    <n v="250"/>
    <s v="Electra Townie Go! 8i - 2017/2018"/>
    <n v="1"/>
    <x v="3"/>
    <n v="2018"/>
    <n v="2599.9899999999998"/>
    <n v="3454.01"/>
  </r>
  <r>
    <n v="251"/>
    <s v="Electra Townie Commute Go! - 2018"/>
    <n v="1"/>
    <x v="3"/>
    <n v="2018"/>
    <n v="2999.99"/>
    <n v="3054.01"/>
  </r>
  <r>
    <n v="252"/>
    <s v="Electra Townie Commute Go! Ladies' - 2018"/>
    <n v="1"/>
    <x v="3"/>
    <n v="2018"/>
    <n v="2999.99"/>
    <n v="3054.01"/>
  </r>
  <r>
    <n v="253"/>
    <s v="Electra Townie Go! 8i Ladies' - 2018"/>
    <n v="1"/>
    <x v="3"/>
    <n v="2018"/>
    <n v="2599.9899999999998"/>
    <n v="3454.01"/>
  </r>
  <r>
    <n v="254"/>
    <s v="Electra Townie Balloon 3i EQ - 2017/2018"/>
    <n v="1"/>
    <x v="3"/>
    <n v="2018"/>
    <n v="749.99"/>
    <n v="5304.01"/>
  </r>
  <r>
    <n v="255"/>
    <s v="Electra Townie Balloon 7i EQ Ladies' - 2017/2018"/>
    <n v="1"/>
    <x v="3"/>
    <n v="2018"/>
    <n v="899.99"/>
    <n v="5154.01"/>
  </r>
  <r>
    <n v="256"/>
    <s v="Electra Townie Commute 27D - 2018"/>
    <n v="1"/>
    <x v="3"/>
    <n v="2018"/>
    <n v="899.99"/>
    <n v="5154.01"/>
  </r>
  <r>
    <n v="257"/>
    <s v="Electra Amsterdam Fashion 3i Ladies' - 2017/2018"/>
    <n v="1"/>
    <x v="3"/>
    <n v="2018"/>
    <n v="899.99"/>
    <n v="5154.01"/>
  </r>
  <r>
    <n v="258"/>
    <s v="Electra Amsterdam Royal 8i - 2017/2018"/>
    <n v="1"/>
    <x v="3"/>
    <n v="2018"/>
    <n v="1259.9000000000001"/>
    <n v="4794.1000000000004"/>
  </r>
  <r>
    <n v="259"/>
    <s v="Electra Amsterdam Royal 8i Ladies - 2018"/>
    <n v="1"/>
    <x v="3"/>
    <n v="2018"/>
    <n v="1199.99"/>
    <n v="4854.01"/>
  </r>
  <r>
    <n v="260"/>
    <s v="Electra Townie Balloon 3i EQ Ladies' - 2018"/>
    <n v="1"/>
    <x v="3"/>
    <n v="2018"/>
    <n v="799.99"/>
    <n v="5254.01"/>
  </r>
  <r>
    <n v="261"/>
    <s v="Electra Townie Balloon 7i EQ - 2018"/>
    <n v="1"/>
    <x v="3"/>
    <n v="2018"/>
    <n v="899.99"/>
    <n v="5154.01"/>
  </r>
  <r>
    <n v="262"/>
    <s v="Trek MT 201 - 2018"/>
    <n v="9"/>
    <x v="4"/>
    <n v="2018"/>
    <n v="249.99"/>
    <n v="1768.01"/>
  </r>
  <r>
    <n v="263"/>
    <s v="Strider Classic 12 Balance Bike - 2018"/>
    <n v="6"/>
    <x v="4"/>
    <n v="2018"/>
    <n v="89.99"/>
    <n v="1928.01"/>
  </r>
  <r>
    <n v="264"/>
    <s v="Strider Sport 16 - 2018"/>
    <n v="6"/>
    <x v="4"/>
    <n v="2018"/>
    <n v="249.99"/>
    <n v="1768.01"/>
  </r>
  <r>
    <n v="265"/>
    <s v="Strider Strider 20 Sport - 2018"/>
    <n v="6"/>
    <x v="4"/>
    <n v="2018"/>
    <n v="289.99"/>
    <n v="1728.01"/>
  </r>
  <r>
    <n v="266"/>
    <s v="Trek Superfly 20 - 2018"/>
    <n v="9"/>
    <x v="4"/>
    <n v="2018"/>
    <n v="399.99"/>
    <n v="1618.01"/>
  </r>
  <r>
    <n v="267"/>
    <s v="Trek Precaliber 12 Girl's - 2018"/>
    <n v="9"/>
    <x v="4"/>
    <n v="2018"/>
    <n v="199.99"/>
    <n v="1818.01"/>
  </r>
  <r>
    <n v="268"/>
    <s v="Trek Kickster - 2018"/>
    <n v="9"/>
    <x v="4"/>
    <n v="2018"/>
    <n v="159.99"/>
    <n v="1858.01"/>
  </r>
  <r>
    <n v="269"/>
    <s v="Trek Precaliber 12 Boy's - 2018"/>
    <n v="9"/>
    <x v="4"/>
    <n v="2018"/>
    <n v="199.99"/>
    <n v="1818.01"/>
  </r>
  <r>
    <n v="270"/>
    <s v="Trek Precaliber 16 Boy's - 2018"/>
    <n v="9"/>
    <x v="4"/>
    <n v="2018"/>
    <n v="209.99"/>
    <n v="1808.01"/>
  </r>
  <r>
    <n v="271"/>
    <s v="Trek Precaliber 16 Girl's - 2018"/>
    <n v="9"/>
    <x v="4"/>
    <n v="2018"/>
    <n v="209.99"/>
    <n v="1808.01"/>
  </r>
  <r>
    <n v="272"/>
    <s v="Trek Precaliber 20 6-speed Boy's - 2018"/>
    <n v="9"/>
    <x v="4"/>
    <n v="2018"/>
    <n v="289.99"/>
    <n v="1728.01"/>
  </r>
  <r>
    <n v="273"/>
    <s v="Trek Precaliber 20 6-speed Girl's - 2018"/>
    <n v="9"/>
    <x v="4"/>
    <n v="2018"/>
    <n v="289.99"/>
    <n v="1728.01"/>
  </r>
  <r>
    <n v="274"/>
    <s v="Trek Precaliber 20 Boy's - 2018"/>
    <n v="9"/>
    <x v="4"/>
    <n v="2018"/>
    <n v="229.99"/>
    <n v="1788.01"/>
  </r>
  <r>
    <n v="275"/>
    <s v="Trek Precaliber 20 Girl's - 2018"/>
    <n v="9"/>
    <x v="4"/>
    <n v="2018"/>
    <n v="229.99"/>
    <n v="1788.01"/>
  </r>
  <r>
    <n v="276"/>
    <s v="Trek Precaliber 24 (7-Speed) - Boys - 2018"/>
    <n v="9"/>
    <x v="4"/>
    <n v="2018"/>
    <n v="319.99"/>
    <n v="1698.01"/>
  </r>
  <r>
    <n v="277"/>
    <s v="Trek Precaliber 24 21-speed Boy's - 2018"/>
    <n v="9"/>
    <x v="4"/>
    <n v="2018"/>
    <n v="369.99"/>
    <n v="1648.01"/>
  </r>
  <r>
    <n v="278"/>
    <s v="Trek Precaliber 24 21-speed Girl's - 2018"/>
    <n v="9"/>
    <x v="4"/>
    <n v="2018"/>
    <n v="369.99"/>
    <n v="1648.01"/>
  </r>
  <r>
    <n v="279"/>
    <s v="Trek Precaliber 24 7-speed Girl's - 2018"/>
    <n v="9"/>
    <x v="4"/>
    <n v="2018"/>
    <n v="319.99"/>
    <n v="1698.01"/>
  </r>
  <r>
    <n v="280"/>
    <s v="Trek Superfly 24 - 2017/2018"/>
    <n v="9"/>
    <x v="4"/>
    <n v="2018"/>
    <n v="489.99"/>
    <n v="1528.01"/>
  </r>
  <r>
    <n v="281"/>
    <s v="Electra Cruiser 7D (24-Inch) Ladies' - 2016/2018"/>
    <n v="1"/>
    <x v="4"/>
    <n v="2018"/>
    <n v="319.99"/>
    <n v="1698.01"/>
  </r>
  <r>
    <n v="282"/>
    <s v="Electra Cyclosaurus 1 (16-inch) - Boy's - 2018"/>
    <n v="1"/>
    <x v="4"/>
    <n v="2018"/>
    <n v="279.99"/>
    <n v="1738.01"/>
  </r>
  <r>
    <n v="283"/>
    <s v="Electra Heartchya 1 (20-inch) - Girl's - 2018"/>
    <n v="1"/>
    <x v="4"/>
    <n v="2018"/>
    <n v="319.99"/>
    <n v="1698.01"/>
  </r>
  <r>
    <n v="284"/>
    <s v="Electra Savannah 1 (20-inch) - Girl's - 2018"/>
    <n v="1"/>
    <x v="4"/>
    <n v="2018"/>
    <n v="319.99"/>
    <n v="1698.01"/>
  </r>
  <r>
    <n v="285"/>
    <s v="Electra Soft Serve 1 (16-inch) - Girl's - 2018"/>
    <n v="1"/>
    <x v="4"/>
    <n v="2018"/>
    <n v="279.99"/>
    <n v="1738.01"/>
  </r>
  <r>
    <n v="286"/>
    <s v="Electra Starship 1 16&quot; - 2018"/>
    <n v="1"/>
    <x v="4"/>
    <n v="2018"/>
    <n v="279.99"/>
    <n v="1738.01"/>
  </r>
  <r>
    <n v="287"/>
    <s v="Electra Straight 8 1 (16-inch) - Boy's - 2018"/>
    <n v="1"/>
    <x v="4"/>
    <n v="2018"/>
    <n v="279.99"/>
    <n v="1738.01"/>
  </r>
  <r>
    <n v="288"/>
    <s v="Electra Straight 8 1 (20-inch) - Boy's - 2018"/>
    <n v="1"/>
    <x v="4"/>
    <n v="2018"/>
    <n v="389.99"/>
    <n v="1628.01"/>
  </r>
  <r>
    <n v="289"/>
    <s v="Electra Superbolt 1 20&quot; - 2018"/>
    <n v="1"/>
    <x v="4"/>
    <n v="2018"/>
    <n v="319.99"/>
    <n v="1698.01"/>
  </r>
  <r>
    <n v="290"/>
    <s v="Electra Superbolt 3i 20&quot; - 2018"/>
    <n v="1"/>
    <x v="4"/>
    <n v="2018"/>
    <n v="369.99"/>
    <n v="1648.01"/>
  </r>
  <r>
    <n v="291"/>
    <s v="Electra Sweet Ride 1 (20-inch) - Girl's - 2018"/>
    <n v="1"/>
    <x v="4"/>
    <n v="2018"/>
    <n v="319.99"/>
    <n v="1698.01"/>
  </r>
  <r>
    <n v="292"/>
    <s v="Electra Sweet Ride 3i (20-inch) - Girls' - 2018"/>
    <n v="1"/>
    <x v="4"/>
    <n v="2018"/>
    <n v="369.99"/>
    <n v="1648.01"/>
  </r>
  <r>
    <n v="293"/>
    <s v="Electra Tiger Shark 1 (20-inch) - Boys' - 2018"/>
    <n v="1"/>
    <x v="4"/>
    <n v="2018"/>
    <n v="319.99"/>
    <n v="1698.01"/>
  </r>
  <r>
    <n v="294"/>
    <s v="Electra Tiger Shark 3i (20-inch) - Boys' - 2018"/>
    <n v="1"/>
    <x v="4"/>
    <n v="2018"/>
    <n v="369.99"/>
    <n v="1648.01"/>
  </r>
  <r>
    <n v="295"/>
    <s v="Electra Treasure 1 20&quot; - 2018"/>
    <n v="1"/>
    <x v="4"/>
    <n v="2018"/>
    <n v="319.99"/>
    <n v="1698.01"/>
  </r>
  <r>
    <n v="296"/>
    <s v="Electra Treasure 3i 20&quot; - 2018"/>
    <n v="1"/>
    <x v="4"/>
    <n v="2018"/>
    <n v="369.99"/>
    <n v="1648.01"/>
  </r>
  <r>
    <n v="297"/>
    <s v="Electra Under-The-Sea 1 16&quot; - 2018"/>
    <n v="1"/>
    <x v="4"/>
    <n v="2018"/>
    <n v="279.99"/>
    <n v="1738.01"/>
  </r>
  <r>
    <n v="298"/>
    <s v="Electra Water Lily 1 (16-inch) - Girl's - 2018"/>
    <n v="1"/>
    <x v="4"/>
    <n v="2018"/>
    <n v="279.99"/>
    <n v="1738.01"/>
  </r>
  <r>
    <n v="299"/>
    <s v="Electra Townie Original 21D - 2018"/>
    <n v="1"/>
    <x v="5"/>
    <n v="2018"/>
    <n v="559.99"/>
    <n v="3476.01"/>
  </r>
  <r>
    <n v="300"/>
    <s v="Electra Townie Balloon 3i EQ Ladies' - 2018"/>
    <n v="1"/>
    <x v="5"/>
    <n v="2018"/>
    <n v="799.99"/>
    <n v="3236.01"/>
  </r>
  <r>
    <n v="301"/>
    <s v="Electra Townie Balloon 7i EQ - 2018"/>
    <n v="1"/>
    <x v="5"/>
    <n v="2018"/>
    <n v="899.99"/>
    <n v="3136.01"/>
  </r>
  <r>
    <n v="302"/>
    <s v="Electra Townie Original 1 - 2018"/>
    <n v="1"/>
    <x v="5"/>
    <n v="2018"/>
    <n v="449.99"/>
    <n v="3586.01"/>
  </r>
  <r>
    <n v="303"/>
    <s v="Electra Townie Go! 8i - 2017/2018"/>
    <n v="1"/>
    <x v="5"/>
    <n v="2018"/>
    <n v="2599.9899999999998"/>
    <n v="1436.0100000000002"/>
  </r>
  <r>
    <n v="304"/>
    <s v="Electra Townie Original 21D EQ - 2017/2018"/>
    <n v="1"/>
    <x v="5"/>
    <n v="2018"/>
    <n v="679.99"/>
    <n v="3356.01"/>
  </r>
  <r>
    <n v="305"/>
    <s v="Electra Townie Balloon 3i EQ - 2017/2018"/>
    <n v="1"/>
    <x v="5"/>
    <n v="2018"/>
    <n v="749.99"/>
    <n v="3286.01"/>
  </r>
  <r>
    <n v="306"/>
    <s v="Electra Townie Balloon 7i EQ Ladies' - 2017/2018"/>
    <n v="1"/>
    <x v="5"/>
    <n v="2018"/>
    <n v="899.99"/>
    <n v="3136.01"/>
  </r>
  <r>
    <n v="307"/>
    <s v="Electra Townie Balloon 8D EQ - 2016/2017/2018"/>
    <n v="1"/>
    <x v="5"/>
    <n v="2018"/>
    <n v="749.99"/>
    <n v="3286.01"/>
  </r>
  <r>
    <n v="308"/>
    <s v="Electra Townie Balloon 8D EQ Ladies' - 2016/2017/2018"/>
    <n v="1"/>
    <x v="5"/>
    <n v="2018"/>
    <n v="749.99"/>
    <n v="3286.01"/>
  </r>
  <r>
    <n v="309"/>
    <s v="Electra Townie Commute 27D - 2018"/>
    <n v="1"/>
    <x v="5"/>
    <n v="2018"/>
    <n v="899.99"/>
    <n v="3136.01"/>
  </r>
  <r>
    <n v="310"/>
    <s v="Electra Townie Commute 27D Ladies - 2018"/>
    <n v="1"/>
    <x v="5"/>
    <n v="2018"/>
    <n v="899.99"/>
    <n v="3136.01"/>
  </r>
  <r>
    <n v="311"/>
    <s v="Electra Townie Commute 8D - 2018"/>
    <n v="1"/>
    <x v="5"/>
    <n v="2018"/>
    <n v="749.99"/>
    <n v="3286.01"/>
  </r>
  <r>
    <n v="312"/>
    <s v="Electra Townie Commute 8D Ladies' - 2018"/>
    <n v="1"/>
    <x v="5"/>
    <n v="2018"/>
    <n v="699.99"/>
    <n v="3336.01"/>
  </r>
  <r>
    <n v="313"/>
    <s v="Electra Townie Original 1 Ladies' - 2018"/>
    <n v="1"/>
    <x v="5"/>
    <n v="2018"/>
    <n v="449.99"/>
    <n v="3586.01"/>
  </r>
  <r>
    <n v="314"/>
    <s v="Electra Townie Original 21D EQ Ladies' - 2018"/>
    <n v="1"/>
    <x v="5"/>
    <n v="2018"/>
    <n v="679.99"/>
    <n v="3356.01"/>
  </r>
  <r>
    <n v="315"/>
    <s v="Electra Townie Original 21D Ladies' - 2018"/>
    <n v="1"/>
    <x v="5"/>
    <n v="2018"/>
    <n v="559.99"/>
    <n v="3476.01"/>
  </r>
  <r>
    <n v="316"/>
    <s v="Trek Checkpoint ALR 4 Women's - 2019"/>
    <n v="9"/>
    <x v="6"/>
    <n v="2019"/>
    <n v="1699.99"/>
    <n v="12433.01"/>
  </r>
  <r>
    <n v="317"/>
    <s v="Trek Checkpoint ALR 5 - 2019"/>
    <n v="9"/>
    <x v="6"/>
    <n v="2019"/>
    <n v="1999.99"/>
    <n v="12133.01"/>
  </r>
  <r>
    <n v="318"/>
    <s v="Trek Checkpoint ALR 5 Women's - 2019"/>
    <n v="9"/>
    <x v="6"/>
    <n v="2019"/>
    <n v="1999.99"/>
    <n v="12133.01"/>
  </r>
  <r>
    <n v="319"/>
    <s v="Trek Checkpoint SL 5 Women's - 2019"/>
    <n v="9"/>
    <x v="6"/>
    <n v="2019"/>
    <n v="2799.99"/>
    <n v="11333.01"/>
  </r>
  <r>
    <n v="320"/>
    <s v="Trek Checkpoint SL 6 - 2019"/>
    <n v="9"/>
    <x v="6"/>
    <n v="2019"/>
    <n v="3799.99"/>
    <n v="10333.01"/>
  </r>
  <r>
    <n v="321"/>
    <s v="Trek Checkpoint ALR Frameset - 2019"/>
    <n v="9"/>
    <x v="6"/>
    <n v="2019"/>
    <n v="3199.99"/>
    <n v="10933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EEE14-4F88-49E9-B652-2B197C9518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7">
    <pivotField showAll="0"/>
    <pivotField showAll="0"/>
    <pivotField showAll="0"/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FDD4-42F6-4D4B-9407-E0B763ADCFB2}">
  <dimension ref="A1:B9"/>
  <sheetViews>
    <sheetView workbookViewId="0">
      <selection activeCell="B15" sqref="B15"/>
    </sheetView>
  </sheetViews>
  <sheetFormatPr defaultRowHeight="13.2" x14ac:dyDescent="0.25"/>
  <cols>
    <col min="1" max="1" width="13.33203125" bestFit="1" customWidth="1"/>
    <col min="2" max="2" width="17.21875" bestFit="1" customWidth="1"/>
  </cols>
  <sheetData>
    <row r="1" spans="1:2" x14ac:dyDescent="0.25">
      <c r="A1" s="4" t="s">
        <v>297</v>
      </c>
      <c r="B1" t="s">
        <v>300</v>
      </c>
    </row>
    <row r="2" spans="1:2" x14ac:dyDescent="0.25">
      <c r="A2" s="5">
        <v>1</v>
      </c>
      <c r="B2">
        <v>102057.58999999991</v>
      </c>
    </row>
    <row r="3" spans="1:2" x14ac:dyDescent="0.25">
      <c r="A3" s="5">
        <v>2</v>
      </c>
      <c r="B3">
        <v>100584.29999999997</v>
      </c>
    </row>
    <row r="4" spans="1:2" x14ac:dyDescent="0.25">
      <c r="A4" s="5">
        <v>3</v>
      </c>
      <c r="B4">
        <v>415128.84000000043</v>
      </c>
    </row>
    <row r="5" spans="1:2" x14ac:dyDescent="0.25">
      <c r="A5" s="5">
        <v>4</v>
      </c>
      <c r="B5">
        <v>55268.070000000007</v>
      </c>
    </row>
    <row r="6" spans="1:2" x14ac:dyDescent="0.25">
      <c r="A6" s="5">
        <v>5</v>
      </c>
      <c r="B6">
        <v>163380.24000000002</v>
      </c>
    </row>
    <row r="7" spans="1:2" x14ac:dyDescent="0.25">
      <c r="A7" s="5">
        <v>6</v>
      </c>
      <c r="B7">
        <v>627272.56000000029</v>
      </c>
    </row>
    <row r="8" spans="1:2" x14ac:dyDescent="0.25">
      <c r="A8" s="5">
        <v>7</v>
      </c>
      <c r="B8">
        <v>656996.56000000029</v>
      </c>
    </row>
    <row r="9" spans="1:2" x14ac:dyDescent="0.25">
      <c r="A9" s="5" t="s">
        <v>298</v>
      </c>
      <c r="B9">
        <v>2120688.1600000011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2"/>
  <sheetViews>
    <sheetView tabSelected="1" workbookViewId="0">
      <selection activeCell="H6" sqref="H6"/>
    </sheetView>
  </sheetViews>
  <sheetFormatPr defaultColWidth="12.6640625" defaultRowHeight="15.75" customHeight="1" x14ac:dyDescent="0.25"/>
  <cols>
    <col min="1" max="1" width="10.44140625" bestFit="1" customWidth="1"/>
    <col min="2" max="2" width="47.44140625" bestFit="1" customWidth="1"/>
    <col min="3" max="3" width="8.109375" bestFit="1" customWidth="1"/>
    <col min="4" max="4" width="10.5546875" bestFit="1" customWidth="1"/>
    <col min="5" max="5" width="10.44140625" bestFit="1" customWidth="1"/>
    <col min="6" max="6" width="9" bestFit="1" customWidth="1"/>
  </cols>
  <sheetData>
    <row r="1" spans="1:7" s="1" customFormat="1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299</v>
      </c>
    </row>
    <row r="2" spans="1:7" ht="13.2" x14ac:dyDescent="0.25">
      <c r="A2" s="3">
        <v>1</v>
      </c>
      <c r="B2" s="3" t="s">
        <v>6</v>
      </c>
      <c r="C2" s="3">
        <v>9</v>
      </c>
      <c r="D2" s="3">
        <v>6</v>
      </c>
      <c r="E2" s="3">
        <v>2016</v>
      </c>
      <c r="F2" s="3">
        <v>379.99</v>
      </c>
      <c r="G2" s="7">
        <f>(E2*D2)-F2</f>
        <v>11716.01</v>
      </c>
    </row>
    <row r="3" spans="1:7" ht="13.2" x14ac:dyDescent="0.25">
      <c r="A3" s="3">
        <v>2</v>
      </c>
      <c r="B3" s="3" t="s">
        <v>7</v>
      </c>
      <c r="C3" s="3">
        <v>5</v>
      </c>
      <c r="D3" s="3">
        <v>6</v>
      </c>
      <c r="E3" s="3">
        <v>2016</v>
      </c>
      <c r="F3" s="3">
        <v>749.99</v>
      </c>
      <c r="G3" s="7">
        <f>(E3*D3)-F3</f>
        <v>11346.01</v>
      </c>
    </row>
    <row r="4" spans="1:7" ht="13.2" x14ac:dyDescent="0.25">
      <c r="A4" s="3">
        <v>3</v>
      </c>
      <c r="B4" s="3" t="s">
        <v>8</v>
      </c>
      <c r="C4" s="3">
        <v>8</v>
      </c>
      <c r="D4" s="3">
        <v>6</v>
      </c>
      <c r="E4" s="3">
        <v>2016</v>
      </c>
      <c r="F4" s="3">
        <v>999.99</v>
      </c>
      <c r="G4" s="7">
        <f>(E4*D4)-F4</f>
        <v>11096.01</v>
      </c>
    </row>
    <row r="5" spans="1:7" ht="13.2" x14ac:dyDescent="0.25">
      <c r="A5" s="3">
        <v>4</v>
      </c>
      <c r="B5" s="3" t="s">
        <v>9</v>
      </c>
      <c r="C5" s="3">
        <v>9</v>
      </c>
      <c r="D5" s="3">
        <v>6</v>
      </c>
      <c r="E5" s="3">
        <v>2016</v>
      </c>
      <c r="F5" s="3">
        <v>2899.99</v>
      </c>
      <c r="G5" s="7">
        <f>(E5*D5)-F5</f>
        <v>9196.01</v>
      </c>
    </row>
    <row r="6" spans="1:7" ht="13.2" x14ac:dyDescent="0.25">
      <c r="A6" s="3">
        <v>5</v>
      </c>
      <c r="B6" s="3" t="s">
        <v>10</v>
      </c>
      <c r="C6" s="3">
        <v>3</v>
      </c>
      <c r="D6" s="3">
        <v>6</v>
      </c>
      <c r="E6" s="3">
        <v>2016</v>
      </c>
      <c r="F6" s="3">
        <v>1320.99</v>
      </c>
      <c r="G6" s="7">
        <f>(E6*D6)-F6</f>
        <v>10775.01</v>
      </c>
    </row>
    <row r="7" spans="1:7" ht="13.2" x14ac:dyDescent="0.25">
      <c r="A7" s="3">
        <v>6</v>
      </c>
      <c r="B7" s="3" t="s">
        <v>11</v>
      </c>
      <c r="C7" s="3">
        <v>8</v>
      </c>
      <c r="D7" s="3">
        <v>6</v>
      </c>
      <c r="E7" s="3">
        <v>2016</v>
      </c>
      <c r="F7" s="3">
        <v>469.99</v>
      </c>
      <c r="G7" s="7">
        <f>(E7*D7)-F7</f>
        <v>11626.01</v>
      </c>
    </row>
    <row r="8" spans="1:7" ht="13.2" x14ac:dyDescent="0.25">
      <c r="A8" s="3">
        <v>7</v>
      </c>
      <c r="B8" s="3" t="s">
        <v>12</v>
      </c>
      <c r="C8" s="3">
        <v>9</v>
      </c>
      <c r="D8" s="3">
        <v>6</v>
      </c>
      <c r="E8" s="3">
        <v>2016</v>
      </c>
      <c r="F8" s="3">
        <v>3999.99</v>
      </c>
      <c r="G8" s="7">
        <f>(E8*D8)-F8</f>
        <v>8096.01</v>
      </c>
    </row>
    <row r="9" spans="1:7" ht="13.2" x14ac:dyDescent="0.25">
      <c r="A9" s="3">
        <v>8</v>
      </c>
      <c r="B9" s="3" t="s">
        <v>13</v>
      </c>
      <c r="C9" s="3">
        <v>9</v>
      </c>
      <c r="D9" s="3">
        <v>6</v>
      </c>
      <c r="E9" s="3">
        <v>2016</v>
      </c>
      <c r="F9" s="3">
        <v>1799.99</v>
      </c>
      <c r="G9" s="7">
        <f>(E9*D9)-F9</f>
        <v>10296.01</v>
      </c>
    </row>
    <row r="10" spans="1:7" ht="13.2" x14ac:dyDescent="0.25">
      <c r="A10" s="3">
        <v>9</v>
      </c>
      <c r="B10" s="3" t="s">
        <v>14</v>
      </c>
      <c r="C10" s="3">
        <v>9</v>
      </c>
      <c r="D10" s="3">
        <v>5</v>
      </c>
      <c r="E10" s="3">
        <v>2016</v>
      </c>
      <c r="F10" s="3">
        <v>2999.99</v>
      </c>
      <c r="G10" s="7">
        <f>(E10*D10)-F10</f>
        <v>7080.01</v>
      </c>
    </row>
    <row r="11" spans="1:7" ht="13.2" x14ac:dyDescent="0.25">
      <c r="A11" s="3">
        <v>10</v>
      </c>
      <c r="B11" s="3" t="s">
        <v>15</v>
      </c>
      <c r="C11" s="3">
        <v>8</v>
      </c>
      <c r="D11" s="3">
        <v>4</v>
      </c>
      <c r="E11" s="3">
        <v>2016</v>
      </c>
      <c r="F11" s="3">
        <v>1549</v>
      </c>
      <c r="G11" s="7">
        <f>(E11*D11)-F11</f>
        <v>6515</v>
      </c>
    </row>
    <row r="12" spans="1:7" ht="13.2" x14ac:dyDescent="0.25">
      <c r="A12" s="3">
        <v>11</v>
      </c>
      <c r="B12" s="3" t="s">
        <v>16</v>
      </c>
      <c r="C12" s="3">
        <v>8</v>
      </c>
      <c r="D12" s="3">
        <v>4</v>
      </c>
      <c r="E12" s="3">
        <v>2016</v>
      </c>
      <c r="F12" s="3">
        <v>1680.99</v>
      </c>
      <c r="G12" s="7">
        <f>(E12*D12)-F12</f>
        <v>6383.01</v>
      </c>
    </row>
    <row r="13" spans="1:7" ht="13.2" x14ac:dyDescent="0.25">
      <c r="A13" s="3">
        <v>12</v>
      </c>
      <c r="B13" s="3" t="s">
        <v>17</v>
      </c>
      <c r="C13" s="3">
        <v>1</v>
      </c>
      <c r="D13" s="3">
        <v>3</v>
      </c>
      <c r="E13" s="3">
        <v>2016</v>
      </c>
      <c r="F13" s="3">
        <v>549.99</v>
      </c>
      <c r="G13" s="7">
        <f>(E13*D13)-F13</f>
        <v>5498.01</v>
      </c>
    </row>
    <row r="14" spans="1:7" ht="13.2" x14ac:dyDescent="0.25">
      <c r="A14" s="3">
        <v>13</v>
      </c>
      <c r="B14" s="3" t="s">
        <v>18</v>
      </c>
      <c r="C14" s="3">
        <v>1</v>
      </c>
      <c r="D14" s="3">
        <v>3</v>
      </c>
      <c r="E14" s="3">
        <v>2016</v>
      </c>
      <c r="F14" s="3">
        <v>269.99</v>
      </c>
      <c r="G14" s="7">
        <f>(E14*D14)-F14</f>
        <v>5778.01</v>
      </c>
    </row>
    <row r="15" spans="1:7" ht="13.2" x14ac:dyDescent="0.25">
      <c r="A15" s="3">
        <v>14</v>
      </c>
      <c r="B15" s="3" t="s">
        <v>19</v>
      </c>
      <c r="C15" s="3">
        <v>1</v>
      </c>
      <c r="D15" s="3">
        <v>3</v>
      </c>
      <c r="E15" s="3">
        <v>2016</v>
      </c>
      <c r="F15" s="3">
        <v>269.99</v>
      </c>
      <c r="G15" s="7">
        <f>(E15*D15)-F15</f>
        <v>5778.01</v>
      </c>
    </row>
    <row r="16" spans="1:7" ht="13.2" x14ac:dyDescent="0.25">
      <c r="A16" s="3">
        <v>15</v>
      </c>
      <c r="B16" s="3" t="s">
        <v>20</v>
      </c>
      <c r="C16" s="3">
        <v>1</v>
      </c>
      <c r="D16" s="3">
        <v>3</v>
      </c>
      <c r="E16" s="3">
        <v>2016</v>
      </c>
      <c r="F16" s="3">
        <v>529.99</v>
      </c>
      <c r="G16" s="7">
        <f>(E16*D16)-F16</f>
        <v>5518.01</v>
      </c>
    </row>
    <row r="17" spans="1:7" ht="13.2" x14ac:dyDescent="0.25">
      <c r="A17" s="3">
        <v>16</v>
      </c>
      <c r="B17" s="3" t="s">
        <v>21</v>
      </c>
      <c r="C17" s="3">
        <v>1</v>
      </c>
      <c r="D17" s="3">
        <v>3</v>
      </c>
      <c r="E17" s="3">
        <v>2016</v>
      </c>
      <c r="F17" s="3">
        <v>599.99</v>
      </c>
      <c r="G17" s="7">
        <f>(E17*D17)-F17</f>
        <v>5448.01</v>
      </c>
    </row>
    <row r="18" spans="1:7" ht="13.2" x14ac:dyDescent="0.25">
      <c r="A18" s="3">
        <v>17</v>
      </c>
      <c r="B18" s="3" t="s">
        <v>22</v>
      </c>
      <c r="C18" s="3">
        <v>4</v>
      </c>
      <c r="D18" s="3">
        <v>3</v>
      </c>
      <c r="E18" s="3">
        <v>2016</v>
      </c>
      <c r="F18" s="3">
        <v>429</v>
      </c>
      <c r="G18" s="7">
        <f>(E18*D18)-F18</f>
        <v>5619</v>
      </c>
    </row>
    <row r="19" spans="1:7" ht="13.2" x14ac:dyDescent="0.25">
      <c r="A19" s="3">
        <v>18</v>
      </c>
      <c r="B19" s="3" t="s">
        <v>23</v>
      </c>
      <c r="C19" s="3">
        <v>4</v>
      </c>
      <c r="D19" s="3">
        <v>3</v>
      </c>
      <c r="E19" s="3">
        <v>2016</v>
      </c>
      <c r="F19" s="3">
        <v>449</v>
      </c>
      <c r="G19" s="7">
        <f>(E19*D19)-F19</f>
        <v>5599</v>
      </c>
    </row>
    <row r="20" spans="1:7" ht="13.2" x14ac:dyDescent="0.25">
      <c r="A20" s="3">
        <v>19</v>
      </c>
      <c r="B20" s="3" t="s">
        <v>24</v>
      </c>
      <c r="C20" s="3">
        <v>4</v>
      </c>
      <c r="D20" s="3">
        <v>3</v>
      </c>
      <c r="E20" s="3">
        <v>2016</v>
      </c>
      <c r="F20" s="3">
        <v>449</v>
      </c>
      <c r="G20" s="7">
        <f>(E20*D20)-F20</f>
        <v>5599</v>
      </c>
    </row>
    <row r="21" spans="1:7" ht="13.2" x14ac:dyDescent="0.25">
      <c r="A21" s="3">
        <v>20</v>
      </c>
      <c r="B21" s="3" t="s">
        <v>25</v>
      </c>
      <c r="C21" s="3">
        <v>1</v>
      </c>
      <c r="D21" s="3">
        <v>3</v>
      </c>
      <c r="E21" s="3">
        <v>2016</v>
      </c>
      <c r="F21" s="3">
        <v>599.99</v>
      </c>
      <c r="G21" s="7">
        <f>(E21*D21)-F21</f>
        <v>5448.01</v>
      </c>
    </row>
    <row r="22" spans="1:7" ht="13.2" x14ac:dyDescent="0.25">
      <c r="A22" s="3">
        <v>21</v>
      </c>
      <c r="B22" s="3" t="s">
        <v>18</v>
      </c>
      <c r="C22" s="3">
        <v>1</v>
      </c>
      <c r="D22" s="3">
        <v>1</v>
      </c>
      <c r="E22" s="3">
        <v>2016</v>
      </c>
      <c r="F22" s="3">
        <v>269.99</v>
      </c>
      <c r="G22" s="7">
        <f>(E22*D22)-F22</f>
        <v>1746.01</v>
      </c>
    </row>
    <row r="23" spans="1:7" ht="13.2" x14ac:dyDescent="0.25">
      <c r="A23" s="3">
        <v>22</v>
      </c>
      <c r="B23" s="3" t="s">
        <v>19</v>
      </c>
      <c r="C23" s="3">
        <v>1</v>
      </c>
      <c r="D23" s="3">
        <v>1</v>
      </c>
      <c r="E23" s="3">
        <v>2016</v>
      </c>
      <c r="F23" s="3">
        <v>269.99</v>
      </c>
      <c r="G23" s="7">
        <f>(E23*D23)-F23</f>
        <v>1746.01</v>
      </c>
    </row>
    <row r="24" spans="1:7" ht="13.2" x14ac:dyDescent="0.25">
      <c r="A24" s="3">
        <v>23</v>
      </c>
      <c r="B24" s="3" t="s">
        <v>26</v>
      </c>
      <c r="C24" s="3">
        <v>1</v>
      </c>
      <c r="D24" s="3">
        <v>1</v>
      </c>
      <c r="E24" s="3">
        <v>2016</v>
      </c>
      <c r="F24" s="3">
        <v>299.99</v>
      </c>
      <c r="G24" s="7">
        <f>(E24*D24)-F24</f>
        <v>1716.01</v>
      </c>
    </row>
    <row r="25" spans="1:7" ht="13.2" x14ac:dyDescent="0.25">
      <c r="A25" s="3">
        <v>24</v>
      </c>
      <c r="B25" s="3" t="s">
        <v>17</v>
      </c>
      <c r="C25" s="3">
        <v>1</v>
      </c>
      <c r="D25" s="3">
        <v>2</v>
      </c>
      <c r="E25" s="3">
        <v>2016</v>
      </c>
      <c r="F25" s="3">
        <v>549.99</v>
      </c>
      <c r="G25" s="7">
        <f>(E25*D25)-F25</f>
        <v>3482.01</v>
      </c>
    </row>
    <row r="26" spans="1:7" ht="13.2" x14ac:dyDescent="0.25">
      <c r="A26" s="3">
        <v>25</v>
      </c>
      <c r="B26" s="3" t="s">
        <v>27</v>
      </c>
      <c r="C26" s="3">
        <v>1</v>
      </c>
      <c r="D26" s="3">
        <v>2</v>
      </c>
      <c r="E26" s="3">
        <v>2016</v>
      </c>
      <c r="F26" s="3">
        <v>499.99</v>
      </c>
      <c r="G26" s="7">
        <f>(E26*D26)-F26</f>
        <v>3532.01</v>
      </c>
    </row>
    <row r="27" spans="1:7" ht="13.2" x14ac:dyDescent="0.25">
      <c r="A27" s="3">
        <v>26</v>
      </c>
      <c r="B27" s="3" t="s">
        <v>21</v>
      </c>
      <c r="C27" s="3">
        <v>1</v>
      </c>
      <c r="D27" s="3">
        <v>2</v>
      </c>
      <c r="E27" s="3">
        <v>2016</v>
      </c>
      <c r="F27" s="3">
        <v>599.99</v>
      </c>
      <c r="G27" s="7">
        <f>(E27*D27)-F27</f>
        <v>3432.01</v>
      </c>
    </row>
    <row r="28" spans="1:7" ht="13.2" x14ac:dyDescent="0.25">
      <c r="A28" s="3">
        <v>27</v>
      </c>
      <c r="B28" s="3" t="s">
        <v>28</v>
      </c>
      <c r="C28" s="3">
        <v>8</v>
      </c>
      <c r="D28" s="3">
        <v>6</v>
      </c>
      <c r="E28" s="3">
        <v>2017</v>
      </c>
      <c r="F28" s="3">
        <v>999.99</v>
      </c>
      <c r="G28" s="7">
        <f>(E28*D28)-F28</f>
        <v>11102.01</v>
      </c>
    </row>
    <row r="29" spans="1:7" ht="13.2" x14ac:dyDescent="0.25">
      <c r="A29" s="3">
        <v>28</v>
      </c>
      <c r="B29" s="3" t="s">
        <v>29</v>
      </c>
      <c r="C29" s="3">
        <v>8</v>
      </c>
      <c r="D29" s="3">
        <v>6</v>
      </c>
      <c r="E29" s="3">
        <v>2017</v>
      </c>
      <c r="F29" s="3">
        <v>2499.9899999999998</v>
      </c>
      <c r="G29" s="7">
        <f>(E29*D29)-F29</f>
        <v>9602.01</v>
      </c>
    </row>
    <row r="30" spans="1:7" ht="13.2" x14ac:dyDescent="0.25">
      <c r="A30" s="3">
        <v>29</v>
      </c>
      <c r="B30" s="3" t="s">
        <v>30</v>
      </c>
      <c r="C30" s="3">
        <v>9</v>
      </c>
      <c r="D30" s="3">
        <v>6</v>
      </c>
      <c r="E30" s="3">
        <v>2017</v>
      </c>
      <c r="F30" s="3">
        <v>999.99</v>
      </c>
      <c r="G30" s="7">
        <f>(E30*D30)-F30</f>
        <v>11102.01</v>
      </c>
    </row>
    <row r="31" spans="1:7" ht="13.2" x14ac:dyDescent="0.25">
      <c r="A31" s="3">
        <v>30</v>
      </c>
      <c r="B31" s="3" t="s">
        <v>31</v>
      </c>
      <c r="C31" s="3">
        <v>8</v>
      </c>
      <c r="D31" s="3">
        <v>6</v>
      </c>
      <c r="E31" s="3">
        <v>2017</v>
      </c>
      <c r="F31" s="3">
        <v>999.99</v>
      </c>
      <c r="G31" s="7">
        <f>(E31*D31)-F31</f>
        <v>11102.01</v>
      </c>
    </row>
    <row r="32" spans="1:7" ht="13.2" x14ac:dyDescent="0.25">
      <c r="A32" s="3">
        <v>31</v>
      </c>
      <c r="B32" s="3" t="s">
        <v>32</v>
      </c>
      <c r="C32" s="3">
        <v>8</v>
      </c>
      <c r="D32" s="3">
        <v>6</v>
      </c>
      <c r="E32" s="3">
        <v>2017</v>
      </c>
      <c r="F32" s="3">
        <v>1632.99</v>
      </c>
      <c r="G32" s="7">
        <f>(E32*D32)-F32</f>
        <v>10469.01</v>
      </c>
    </row>
    <row r="33" spans="1:7" ht="13.2" x14ac:dyDescent="0.25">
      <c r="A33" s="3">
        <v>32</v>
      </c>
      <c r="B33" s="3" t="s">
        <v>33</v>
      </c>
      <c r="C33" s="3">
        <v>9</v>
      </c>
      <c r="D33" s="3">
        <v>6</v>
      </c>
      <c r="E33" s="3">
        <v>2017</v>
      </c>
      <c r="F33" s="3">
        <v>469.99</v>
      </c>
      <c r="G33" s="7">
        <f>(E33*D33)-F33</f>
        <v>11632.01</v>
      </c>
    </row>
    <row r="34" spans="1:7" ht="13.2" x14ac:dyDescent="0.25">
      <c r="A34" s="3">
        <v>33</v>
      </c>
      <c r="B34" s="3" t="s">
        <v>34</v>
      </c>
      <c r="C34" s="3">
        <v>8</v>
      </c>
      <c r="D34" s="3">
        <v>6</v>
      </c>
      <c r="E34" s="3">
        <v>2017</v>
      </c>
      <c r="F34" s="3">
        <v>469.99</v>
      </c>
      <c r="G34" s="7">
        <f>(E34*D34)-F34</f>
        <v>11632.01</v>
      </c>
    </row>
    <row r="35" spans="1:7" ht="13.2" x14ac:dyDescent="0.25">
      <c r="A35" s="3">
        <v>34</v>
      </c>
      <c r="B35" s="3" t="s">
        <v>35</v>
      </c>
      <c r="C35" s="3">
        <v>9</v>
      </c>
      <c r="D35" s="3">
        <v>6</v>
      </c>
      <c r="E35" s="3">
        <v>2017</v>
      </c>
      <c r="F35" s="3">
        <v>469.99</v>
      </c>
      <c r="G35" s="7">
        <f>(E35*D35)-F35</f>
        <v>11632.01</v>
      </c>
    </row>
    <row r="36" spans="1:7" ht="13.2" x14ac:dyDescent="0.25">
      <c r="A36" s="3">
        <v>35</v>
      </c>
      <c r="B36" s="3" t="s">
        <v>36</v>
      </c>
      <c r="C36" s="3">
        <v>7</v>
      </c>
      <c r="D36" s="3">
        <v>6</v>
      </c>
      <c r="E36" s="3">
        <v>2017</v>
      </c>
      <c r="F36" s="3">
        <v>832.99</v>
      </c>
      <c r="G36" s="7">
        <f>(E36*D36)-F36</f>
        <v>11269.01</v>
      </c>
    </row>
    <row r="37" spans="1:7" ht="13.2" x14ac:dyDescent="0.25">
      <c r="A37" s="3">
        <v>36</v>
      </c>
      <c r="B37" s="3" t="s">
        <v>37</v>
      </c>
      <c r="C37" s="3">
        <v>8</v>
      </c>
      <c r="D37" s="3">
        <v>6</v>
      </c>
      <c r="E37" s="3">
        <v>2017</v>
      </c>
      <c r="F37" s="3">
        <v>832.99</v>
      </c>
      <c r="G37" s="7">
        <f>(E37*D37)-F37</f>
        <v>11269.01</v>
      </c>
    </row>
    <row r="38" spans="1:7" ht="13.2" x14ac:dyDescent="0.25">
      <c r="A38" s="3">
        <v>37</v>
      </c>
      <c r="B38" s="3" t="s">
        <v>38</v>
      </c>
      <c r="C38" s="3">
        <v>2</v>
      </c>
      <c r="D38" s="3">
        <v>6</v>
      </c>
      <c r="E38" s="3">
        <v>2017</v>
      </c>
      <c r="F38" s="3">
        <v>379.99</v>
      </c>
      <c r="G38" s="7">
        <f>(E38*D38)-F38</f>
        <v>11722.01</v>
      </c>
    </row>
    <row r="39" spans="1:7" ht="13.2" x14ac:dyDescent="0.25">
      <c r="A39" s="3">
        <v>38</v>
      </c>
      <c r="B39" s="3" t="s">
        <v>39</v>
      </c>
      <c r="C39" s="3">
        <v>2</v>
      </c>
      <c r="D39" s="3">
        <v>6</v>
      </c>
      <c r="E39" s="3">
        <v>2017</v>
      </c>
      <c r="F39" s="3">
        <v>549.99</v>
      </c>
      <c r="G39" s="7">
        <f>(E39*D39)-F39</f>
        <v>11552.01</v>
      </c>
    </row>
    <row r="40" spans="1:7" ht="13.2" x14ac:dyDescent="0.25">
      <c r="A40" s="3">
        <v>39</v>
      </c>
      <c r="B40" s="3" t="s">
        <v>40</v>
      </c>
      <c r="C40" s="3">
        <v>9</v>
      </c>
      <c r="D40" s="3">
        <v>6</v>
      </c>
      <c r="E40" s="3">
        <v>2017</v>
      </c>
      <c r="F40" s="3">
        <v>1499.99</v>
      </c>
      <c r="G40" s="7">
        <f>(E40*D40)-F40</f>
        <v>10602.01</v>
      </c>
    </row>
    <row r="41" spans="1:7" ht="13.2" x14ac:dyDescent="0.25">
      <c r="A41" s="3">
        <v>40</v>
      </c>
      <c r="B41" s="3" t="s">
        <v>41</v>
      </c>
      <c r="C41" s="3">
        <v>9</v>
      </c>
      <c r="D41" s="3">
        <v>6</v>
      </c>
      <c r="E41" s="3">
        <v>2017</v>
      </c>
      <c r="F41" s="3">
        <v>4999.99</v>
      </c>
      <c r="G41" s="7">
        <f>(E41*D41)-F41</f>
        <v>7102.01</v>
      </c>
    </row>
    <row r="42" spans="1:7" ht="13.2" x14ac:dyDescent="0.25">
      <c r="A42" s="3">
        <v>41</v>
      </c>
      <c r="B42" s="3" t="s">
        <v>42</v>
      </c>
      <c r="C42" s="3">
        <v>2</v>
      </c>
      <c r="D42" s="3">
        <v>6</v>
      </c>
      <c r="E42" s="3">
        <v>2017</v>
      </c>
      <c r="F42" s="3">
        <v>1469.99</v>
      </c>
      <c r="G42" s="7">
        <f>(E42*D42)-F42</f>
        <v>10632.01</v>
      </c>
    </row>
    <row r="43" spans="1:7" ht="13.2" x14ac:dyDescent="0.25">
      <c r="A43" s="3">
        <v>42</v>
      </c>
      <c r="B43" s="3" t="s">
        <v>43</v>
      </c>
      <c r="C43" s="3">
        <v>9</v>
      </c>
      <c r="D43" s="3">
        <v>6</v>
      </c>
      <c r="E43" s="3">
        <v>2017</v>
      </c>
      <c r="F43" s="3">
        <v>2299.9899999999998</v>
      </c>
      <c r="G43" s="7">
        <f>(E43*D43)-F43</f>
        <v>9802.01</v>
      </c>
    </row>
    <row r="44" spans="1:7" ht="13.2" x14ac:dyDescent="0.25">
      <c r="A44" s="3">
        <v>43</v>
      </c>
      <c r="B44" s="3" t="s">
        <v>44</v>
      </c>
      <c r="C44" s="3">
        <v>9</v>
      </c>
      <c r="D44" s="3">
        <v>6</v>
      </c>
      <c r="E44" s="3">
        <v>2017</v>
      </c>
      <c r="F44" s="3">
        <v>5299.99</v>
      </c>
      <c r="G44" s="7">
        <f>(E44*D44)-F44</f>
        <v>6802.01</v>
      </c>
    </row>
    <row r="45" spans="1:7" ht="13.2" x14ac:dyDescent="0.25">
      <c r="A45" s="3">
        <v>44</v>
      </c>
      <c r="B45" s="3" t="s">
        <v>45</v>
      </c>
      <c r="C45" s="3">
        <v>2</v>
      </c>
      <c r="D45" s="3">
        <v>6</v>
      </c>
      <c r="E45" s="3">
        <v>2017</v>
      </c>
      <c r="F45" s="3">
        <v>539.99</v>
      </c>
      <c r="G45" s="7">
        <f>(E45*D45)-F45</f>
        <v>11562.01</v>
      </c>
    </row>
    <row r="46" spans="1:7" ht="13.2" x14ac:dyDescent="0.25">
      <c r="A46" s="3">
        <v>45</v>
      </c>
      <c r="B46" s="3" t="s">
        <v>46</v>
      </c>
      <c r="C46" s="3">
        <v>2</v>
      </c>
      <c r="D46" s="3">
        <v>6</v>
      </c>
      <c r="E46" s="3">
        <v>2017</v>
      </c>
      <c r="F46" s="3">
        <v>869.99</v>
      </c>
      <c r="G46" s="7">
        <f>(E46*D46)-F46</f>
        <v>11232.01</v>
      </c>
    </row>
    <row r="47" spans="1:7" ht="13.2" x14ac:dyDescent="0.25">
      <c r="A47" s="3">
        <v>46</v>
      </c>
      <c r="B47" s="3" t="s">
        <v>47</v>
      </c>
      <c r="C47" s="3">
        <v>2</v>
      </c>
      <c r="D47" s="3">
        <v>6</v>
      </c>
      <c r="E47" s="3">
        <v>2017</v>
      </c>
      <c r="F47" s="3">
        <v>1409.99</v>
      </c>
      <c r="G47" s="7">
        <f>(E47*D47)-F47</f>
        <v>10692.01</v>
      </c>
    </row>
    <row r="48" spans="1:7" ht="13.2" x14ac:dyDescent="0.25">
      <c r="A48" s="3">
        <v>47</v>
      </c>
      <c r="B48" s="3" t="s">
        <v>48</v>
      </c>
      <c r="C48" s="3">
        <v>9</v>
      </c>
      <c r="D48" s="3">
        <v>6</v>
      </c>
      <c r="E48" s="3">
        <v>2017</v>
      </c>
      <c r="F48" s="3">
        <v>5299.99</v>
      </c>
      <c r="G48" s="7">
        <f>(E48*D48)-F48</f>
        <v>6802.01</v>
      </c>
    </row>
    <row r="49" spans="1:7" ht="13.2" x14ac:dyDescent="0.25">
      <c r="A49" s="3">
        <v>48</v>
      </c>
      <c r="B49" s="3" t="s">
        <v>49</v>
      </c>
      <c r="C49" s="3">
        <v>9</v>
      </c>
      <c r="D49" s="3">
        <v>7</v>
      </c>
      <c r="E49" s="3">
        <v>2017</v>
      </c>
      <c r="F49" s="3">
        <v>1499.99</v>
      </c>
      <c r="G49" s="7">
        <f>(E49*D49)-F49</f>
        <v>12619.01</v>
      </c>
    </row>
    <row r="50" spans="1:7" ht="13.2" x14ac:dyDescent="0.25">
      <c r="A50" s="3">
        <v>49</v>
      </c>
      <c r="B50" s="3" t="s">
        <v>50</v>
      </c>
      <c r="C50" s="3">
        <v>9</v>
      </c>
      <c r="D50" s="3">
        <v>7</v>
      </c>
      <c r="E50" s="3">
        <v>2017</v>
      </c>
      <c r="F50" s="3">
        <v>3499.99</v>
      </c>
      <c r="G50" s="7">
        <f>(E50*D50)-F50</f>
        <v>10619.01</v>
      </c>
    </row>
    <row r="51" spans="1:7" ht="13.2" x14ac:dyDescent="0.25">
      <c r="A51" s="3">
        <v>50</v>
      </c>
      <c r="B51" s="3" t="s">
        <v>51</v>
      </c>
      <c r="C51" s="3">
        <v>9</v>
      </c>
      <c r="D51" s="3">
        <v>7</v>
      </c>
      <c r="E51" s="3">
        <v>2017</v>
      </c>
      <c r="F51" s="3">
        <v>5999.99</v>
      </c>
      <c r="G51" s="7">
        <f>(E51*D51)-F51</f>
        <v>8119.01</v>
      </c>
    </row>
    <row r="52" spans="1:7" ht="13.2" x14ac:dyDescent="0.25">
      <c r="A52" s="3">
        <v>51</v>
      </c>
      <c r="B52" s="3" t="s">
        <v>52</v>
      </c>
      <c r="C52" s="3">
        <v>9</v>
      </c>
      <c r="D52" s="3">
        <v>7</v>
      </c>
      <c r="E52" s="3">
        <v>2017</v>
      </c>
      <c r="F52" s="3">
        <v>6499.99</v>
      </c>
      <c r="G52" s="7">
        <f>(E52*D52)-F52</f>
        <v>7619.01</v>
      </c>
    </row>
    <row r="53" spans="1:7" ht="13.2" x14ac:dyDescent="0.25">
      <c r="A53" s="3">
        <v>52</v>
      </c>
      <c r="B53" s="3" t="s">
        <v>53</v>
      </c>
      <c r="C53" s="3">
        <v>8</v>
      </c>
      <c r="D53" s="3">
        <v>7</v>
      </c>
      <c r="E53" s="3">
        <v>2017</v>
      </c>
      <c r="F53" s="3">
        <v>875.99</v>
      </c>
      <c r="G53" s="7">
        <f>(E53*D53)-F53</f>
        <v>13243.01</v>
      </c>
    </row>
    <row r="54" spans="1:7" ht="13.2" x14ac:dyDescent="0.25">
      <c r="A54" s="3">
        <v>53</v>
      </c>
      <c r="B54" s="3" t="s">
        <v>54</v>
      </c>
      <c r="C54" s="3">
        <v>8</v>
      </c>
      <c r="D54" s="3">
        <v>7</v>
      </c>
      <c r="E54" s="3">
        <v>2017</v>
      </c>
      <c r="F54" s="3">
        <v>749.99</v>
      </c>
      <c r="G54" s="7">
        <f>(E54*D54)-F54</f>
        <v>13369.01</v>
      </c>
    </row>
    <row r="55" spans="1:7" ht="13.2" x14ac:dyDescent="0.25">
      <c r="A55" s="3">
        <v>54</v>
      </c>
      <c r="B55" s="3" t="s">
        <v>55</v>
      </c>
      <c r="C55" s="3">
        <v>9</v>
      </c>
      <c r="D55" s="3">
        <v>7</v>
      </c>
      <c r="E55" s="3">
        <v>2017</v>
      </c>
      <c r="F55" s="3">
        <v>3199.99</v>
      </c>
      <c r="G55" s="7">
        <f>(E55*D55)-F55</f>
        <v>10919.01</v>
      </c>
    </row>
    <row r="56" spans="1:7" ht="13.2" x14ac:dyDescent="0.25">
      <c r="A56" s="3">
        <v>55</v>
      </c>
      <c r="B56" s="3" t="s">
        <v>56</v>
      </c>
      <c r="C56" s="3">
        <v>9</v>
      </c>
      <c r="D56" s="3">
        <v>7</v>
      </c>
      <c r="E56" s="3">
        <v>2017</v>
      </c>
      <c r="F56" s="3">
        <v>2699.99</v>
      </c>
      <c r="G56" s="7">
        <f>(E56*D56)-F56</f>
        <v>11419.01</v>
      </c>
    </row>
    <row r="57" spans="1:7" ht="13.2" x14ac:dyDescent="0.25">
      <c r="A57" s="3">
        <v>56</v>
      </c>
      <c r="B57" s="3" t="s">
        <v>57</v>
      </c>
      <c r="C57" s="3">
        <v>9</v>
      </c>
      <c r="D57" s="3">
        <v>7</v>
      </c>
      <c r="E57" s="3">
        <v>2017</v>
      </c>
      <c r="F57" s="3">
        <v>5499.99</v>
      </c>
      <c r="G57" s="7">
        <f>(E57*D57)-F57</f>
        <v>8619.01</v>
      </c>
    </row>
    <row r="58" spans="1:7" ht="13.2" x14ac:dyDescent="0.25">
      <c r="A58" s="3">
        <v>57</v>
      </c>
      <c r="B58" s="3" t="s">
        <v>58</v>
      </c>
      <c r="C58" s="3">
        <v>9</v>
      </c>
      <c r="D58" s="3">
        <v>7</v>
      </c>
      <c r="E58" s="3">
        <v>2017</v>
      </c>
      <c r="F58" s="3">
        <v>1999.99</v>
      </c>
      <c r="G58" s="7">
        <f>(E58*D58)-F58</f>
        <v>12119.01</v>
      </c>
    </row>
    <row r="59" spans="1:7" ht="13.2" x14ac:dyDescent="0.25">
      <c r="A59" s="3">
        <v>58</v>
      </c>
      <c r="B59" s="3" t="s">
        <v>59</v>
      </c>
      <c r="C59" s="3">
        <v>9</v>
      </c>
      <c r="D59" s="3">
        <v>7</v>
      </c>
      <c r="E59" s="3">
        <v>2017</v>
      </c>
      <c r="F59" s="3">
        <v>4999.99</v>
      </c>
      <c r="G59" s="7">
        <f>(E59*D59)-F59</f>
        <v>9119.01</v>
      </c>
    </row>
    <row r="60" spans="1:7" ht="13.2" x14ac:dyDescent="0.25">
      <c r="A60" s="3">
        <v>59</v>
      </c>
      <c r="B60" s="3" t="s">
        <v>60</v>
      </c>
      <c r="C60" s="3">
        <v>9</v>
      </c>
      <c r="D60" s="3">
        <v>7</v>
      </c>
      <c r="E60" s="3">
        <v>2017</v>
      </c>
      <c r="F60" s="3">
        <v>2599.9899999999998</v>
      </c>
      <c r="G60" s="7">
        <f>(E60*D60)-F60</f>
        <v>11519.01</v>
      </c>
    </row>
    <row r="61" spans="1:7" ht="13.2" x14ac:dyDescent="0.25">
      <c r="A61" s="3">
        <v>60</v>
      </c>
      <c r="B61" s="3" t="s">
        <v>61</v>
      </c>
      <c r="C61" s="3">
        <v>7</v>
      </c>
      <c r="D61" s="3">
        <v>5</v>
      </c>
      <c r="E61" s="3">
        <v>2017</v>
      </c>
      <c r="F61" s="3">
        <v>1559.99</v>
      </c>
      <c r="G61" s="7">
        <f>(E61*D61)-F61</f>
        <v>8525.01</v>
      </c>
    </row>
    <row r="62" spans="1:7" ht="13.2" x14ac:dyDescent="0.25">
      <c r="A62" s="3">
        <v>61</v>
      </c>
      <c r="B62" s="3" t="s">
        <v>62</v>
      </c>
      <c r="C62" s="3">
        <v>9</v>
      </c>
      <c r="D62" s="3">
        <v>5</v>
      </c>
      <c r="E62" s="3">
        <v>2017</v>
      </c>
      <c r="F62" s="3">
        <v>4999.99</v>
      </c>
      <c r="G62" s="7">
        <f>(E62*D62)-F62</f>
        <v>5085.01</v>
      </c>
    </row>
    <row r="63" spans="1:7" ht="13.2" x14ac:dyDescent="0.25">
      <c r="A63" s="3">
        <v>62</v>
      </c>
      <c r="B63" s="3" t="s">
        <v>63</v>
      </c>
      <c r="C63" s="3">
        <v>9</v>
      </c>
      <c r="D63" s="3">
        <v>4</v>
      </c>
      <c r="E63" s="3">
        <v>2017</v>
      </c>
      <c r="F63" s="3">
        <v>3499.99</v>
      </c>
      <c r="G63" s="7">
        <f>(E63*D63)-F63</f>
        <v>4568.01</v>
      </c>
    </row>
    <row r="64" spans="1:7" ht="13.2" x14ac:dyDescent="0.25">
      <c r="A64" s="3">
        <v>63</v>
      </c>
      <c r="B64" s="3" t="s">
        <v>64</v>
      </c>
      <c r="C64" s="3">
        <v>9</v>
      </c>
      <c r="D64" s="3">
        <v>4</v>
      </c>
      <c r="E64" s="3">
        <v>2017</v>
      </c>
      <c r="F64" s="3">
        <v>3499.99</v>
      </c>
      <c r="G64" s="7">
        <f>(E64*D64)-F64</f>
        <v>4568.01</v>
      </c>
    </row>
    <row r="65" spans="1:7" ht="13.2" x14ac:dyDescent="0.25">
      <c r="A65" s="3">
        <v>64</v>
      </c>
      <c r="B65" s="3" t="s">
        <v>65</v>
      </c>
      <c r="C65" s="3">
        <v>1</v>
      </c>
      <c r="D65" s="3">
        <v>3</v>
      </c>
      <c r="E65" s="3">
        <v>2017</v>
      </c>
      <c r="F65" s="3">
        <v>489.99</v>
      </c>
      <c r="G65" s="7">
        <f>(E65*D65)-F65</f>
        <v>5561.01</v>
      </c>
    </row>
    <row r="66" spans="1:7" ht="13.2" x14ac:dyDescent="0.25">
      <c r="A66" s="3">
        <v>65</v>
      </c>
      <c r="B66" s="3" t="s">
        <v>66</v>
      </c>
      <c r="C66" s="3">
        <v>7</v>
      </c>
      <c r="D66" s="3">
        <v>3</v>
      </c>
      <c r="E66" s="3">
        <v>2017</v>
      </c>
      <c r="F66" s="3">
        <v>346.99</v>
      </c>
      <c r="G66" s="7">
        <f>(E66*D66)-F66</f>
        <v>5704.01</v>
      </c>
    </row>
    <row r="67" spans="1:7" ht="13.2" x14ac:dyDescent="0.25">
      <c r="A67" s="3">
        <v>66</v>
      </c>
      <c r="B67" s="3" t="s">
        <v>67</v>
      </c>
      <c r="C67" s="3">
        <v>7</v>
      </c>
      <c r="D67" s="3">
        <v>3</v>
      </c>
      <c r="E67" s="3">
        <v>2017</v>
      </c>
      <c r="F67" s="3">
        <v>250.99</v>
      </c>
      <c r="G67" s="7">
        <f>(E67*D67)-F67</f>
        <v>5800.01</v>
      </c>
    </row>
    <row r="68" spans="1:7" ht="13.2" x14ac:dyDescent="0.25">
      <c r="A68" s="3">
        <v>67</v>
      </c>
      <c r="B68" s="3" t="s">
        <v>68</v>
      </c>
      <c r="C68" s="3">
        <v>7</v>
      </c>
      <c r="D68" s="3">
        <v>3</v>
      </c>
      <c r="E68" s="3">
        <v>2017</v>
      </c>
      <c r="F68" s="3">
        <v>250.99</v>
      </c>
      <c r="G68" s="7">
        <f>(E68*D68)-F68</f>
        <v>5800.01</v>
      </c>
    </row>
    <row r="69" spans="1:7" ht="13.2" x14ac:dyDescent="0.25">
      <c r="A69" s="3">
        <v>68</v>
      </c>
      <c r="B69" s="3" t="s">
        <v>69</v>
      </c>
      <c r="C69" s="3">
        <v>7</v>
      </c>
      <c r="D69" s="3">
        <v>3</v>
      </c>
      <c r="E69" s="3">
        <v>2017</v>
      </c>
      <c r="F69" s="3">
        <v>449.99</v>
      </c>
      <c r="G69" s="7">
        <f>(E69*D69)-F69</f>
        <v>5601.01</v>
      </c>
    </row>
    <row r="70" spans="1:7" ht="13.2" x14ac:dyDescent="0.25">
      <c r="A70" s="3">
        <v>69</v>
      </c>
      <c r="B70" s="3" t="s">
        <v>70</v>
      </c>
      <c r="C70" s="3">
        <v>7</v>
      </c>
      <c r="D70" s="3">
        <v>3</v>
      </c>
      <c r="E70" s="3">
        <v>2017</v>
      </c>
      <c r="F70" s="3">
        <v>416.99</v>
      </c>
      <c r="G70" s="7">
        <f>(E70*D70)-F70</f>
        <v>5634.01</v>
      </c>
    </row>
    <row r="71" spans="1:7" ht="13.2" x14ac:dyDescent="0.25">
      <c r="A71" s="3">
        <v>70</v>
      </c>
      <c r="B71" s="3" t="s">
        <v>71</v>
      </c>
      <c r="C71" s="3">
        <v>1</v>
      </c>
      <c r="D71" s="3">
        <v>3</v>
      </c>
      <c r="E71" s="3">
        <v>2017</v>
      </c>
      <c r="F71" s="3">
        <v>659.99</v>
      </c>
      <c r="G71" s="7">
        <f>(E71*D71)-F71</f>
        <v>5391.01</v>
      </c>
    </row>
    <row r="72" spans="1:7" ht="13.2" x14ac:dyDescent="0.25">
      <c r="A72" s="3">
        <v>71</v>
      </c>
      <c r="B72" s="3" t="s">
        <v>72</v>
      </c>
      <c r="C72" s="3">
        <v>7</v>
      </c>
      <c r="D72" s="3">
        <v>3</v>
      </c>
      <c r="E72" s="3">
        <v>2017</v>
      </c>
      <c r="F72" s="3">
        <v>416.99</v>
      </c>
      <c r="G72" s="7">
        <f>(E72*D72)-F72</f>
        <v>5634.01</v>
      </c>
    </row>
    <row r="73" spans="1:7" ht="13.2" x14ac:dyDescent="0.25">
      <c r="A73" s="3">
        <v>72</v>
      </c>
      <c r="B73" s="3" t="s">
        <v>73</v>
      </c>
      <c r="C73" s="3">
        <v>7</v>
      </c>
      <c r="D73" s="3">
        <v>3</v>
      </c>
      <c r="E73" s="3">
        <v>2017</v>
      </c>
      <c r="F73" s="3">
        <v>619.99</v>
      </c>
      <c r="G73" s="7">
        <f>(E73*D73)-F73</f>
        <v>5431.01</v>
      </c>
    </row>
    <row r="74" spans="1:7" ht="13.2" x14ac:dyDescent="0.25">
      <c r="A74" s="3">
        <v>73</v>
      </c>
      <c r="B74" s="3" t="s">
        <v>74</v>
      </c>
      <c r="C74" s="3">
        <v>7</v>
      </c>
      <c r="D74" s="3">
        <v>3</v>
      </c>
      <c r="E74" s="3">
        <v>2017</v>
      </c>
      <c r="F74" s="3">
        <v>749.99</v>
      </c>
      <c r="G74" s="7">
        <f>(E74*D74)-F74</f>
        <v>5301.01</v>
      </c>
    </row>
    <row r="75" spans="1:7" ht="13.2" x14ac:dyDescent="0.25">
      <c r="A75" s="3">
        <v>74</v>
      </c>
      <c r="B75" s="3" t="s">
        <v>75</v>
      </c>
      <c r="C75" s="3">
        <v>1</v>
      </c>
      <c r="D75" s="3">
        <v>3</v>
      </c>
      <c r="E75" s="3">
        <v>2017</v>
      </c>
      <c r="F75" s="3">
        <v>439.99</v>
      </c>
      <c r="G75" s="7">
        <f>(E75*D75)-F75</f>
        <v>5611.01</v>
      </c>
    </row>
    <row r="76" spans="1:7" ht="13.2" x14ac:dyDescent="0.25">
      <c r="A76" s="3">
        <v>75</v>
      </c>
      <c r="B76" s="3" t="s">
        <v>76</v>
      </c>
      <c r="C76" s="3">
        <v>1</v>
      </c>
      <c r="D76" s="3">
        <v>3</v>
      </c>
      <c r="E76" s="3">
        <v>2017</v>
      </c>
      <c r="F76" s="3">
        <v>599.99</v>
      </c>
      <c r="G76" s="7">
        <f>(E76*D76)-F76</f>
        <v>5451.01</v>
      </c>
    </row>
    <row r="77" spans="1:7" ht="13.2" x14ac:dyDescent="0.25">
      <c r="A77" s="3">
        <v>76</v>
      </c>
      <c r="B77" s="3" t="s">
        <v>77</v>
      </c>
      <c r="C77" s="3">
        <v>1</v>
      </c>
      <c r="D77" s="3">
        <v>3</v>
      </c>
      <c r="E77" s="3">
        <v>2017</v>
      </c>
      <c r="F77" s="3">
        <v>299.99</v>
      </c>
      <c r="G77" s="7">
        <f>(E77*D77)-F77</f>
        <v>5751.01</v>
      </c>
    </row>
    <row r="78" spans="1:7" ht="13.2" x14ac:dyDescent="0.25">
      <c r="A78" s="3">
        <v>77</v>
      </c>
      <c r="B78" s="3" t="s">
        <v>78</v>
      </c>
      <c r="C78" s="3">
        <v>1</v>
      </c>
      <c r="D78" s="3">
        <v>3</v>
      </c>
      <c r="E78" s="3">
        <v>2017</v>
      </c>
      <c r="F78" s="3">
        <v>799.99</v>
      </c>
      <c r="G78" s="7">
        <f>(E78*D78)-F78</f>
        <v>5251.01</v>
      </c>
    </row>
    <row r="79" spans="1:7" ht="13.2" x14ac:dyDescent="0.25">
      <c r="A79" s="3">
        <v>78</v>
      </c>
      <c r="B79" s="3" t="s">
        <v>79</v>
      </c>
      <c r="C79" s="3">
        <v>7</v>
      </c>
      <c r="D79" s="3">
        <v>3</v>
      </c>
      <c r="E79" s="3">
        <v>2017</v>
      </c>
      <c r="F79" s="3">
        <v>647.99</v>
      </c>
      <c r="G79" s="7">
        <f>(E79*D79)-F79</f>
        <v>5403.01</v>
      </c>
    </row>
    <row r="80" spans="1:7" ht="13.2" x14ac:dyDescent="0.25">
      <c r="A80" s="3">
        <v>79</v>
      </c>
      <c r="B80" s="3" t="s">
        <v>80</v>
      </c>
      <c r="C80" s="3">
        <v>7</v>
      </c>
      <c r="D80" s="3">
        <v>3</v>
      </c>
      <c r="E80" s="3">
        <v>2017</v>
      </c>
      <c r="F80" s="3">
        <v>402.99</v>
      </c>
      <c r="G80" s="7">
        <f>(E80*D80)-F80</f>
        <v>5648.01</v>
      </c>
    </row>
    <row r="81" spans="1:7" ht="13.2" x14ac:dyDescent="0.25">
      <c r="A81" s="3">
        <v>80</v>
      </c>
      <c r="B81" s="3" t="s">
        <v>81</v>
      </c>
      <c r="C81" s="3">
        <v>7</v>
      </c>
      <c r="D81" s="3">
        <v>3</v>
      </c>
      <c r="E81" s="3">
        <v>2017</v>
      </c>
      <c r="F81" s="3">
        <v>761.99</v>
      </c>
      <c r="G81" s="7">
        <f>(E81*D81)-F81</f>
        <v>5289.01</v>
      </c>
    </row>
    <row r="82" spans="1:7" ht="13.2" x14ac:dyDescent="0.25">
      <c r="A82" s="3">
        <v>81</v>
      </c>
      <c r="B82" s="3" t="s">
        <v>82</v>
      </c>
      <c r="C82" s="3">
        <v>1</v>
      </c>
      <c r="D82" s="3">
        <v>3</v>
      </c>
      <c r="E82" s="3">
        <v>2017</v>
      </c>
      <c r="F82" s="3">
        <v>1099.99</v>
      </c>
      <c r="G82" s="7">
        <f>(E82*D82)-F82</f>
        <v>4951.01</v>
      </c>
    </row>
    <row r="83" spans="1:7" ht="13.2" x14ac:dyDescent="0.25">
      <c r="A83" s="3">
        <v>82</v>
      </c>
      <c r="B83" s="3" t="s">
        <v>83</v>
      </c>
      <c r="C83" s="3">
        <v>1</v>
      </c>
      <c r="D83" s="3">
        <v>3</v>
      </c>
      <c r="E83" s="3">
        <v>2017</v>
      </c>
      <c r="F83" s="3">
        <v>659.99</v>
      </c>
      <c r="G83" s="7">
        <f>(E83*D83)-F83</f>
        <v>5391.01</v>
      </c>
    </row>
    <row r="84" spans="1:7" ht="13.2" x14ac:dyDescent="0.25">
      <c r="A84" s="3">
        <v>83</v>
      </c>
      <c r="B84" s="3" t="s">
        <v>84</v>
      </c>
      <c r="C84" s="3">
        <v>9</v>
      </c>
      <c r="D84" s="3">
        <v>1</v>
      </c>
      <c r="E84" s="3">
        <v>2017</v>
      </c>
      <c r="F84" s="3">
        <v>149.99</v>
      </c>
      <c r="G84" s="7">
        <f>(E84*D84)-F84</f>
        <v>1867.01</v>
      </c>
    </row>
    <row r="85" spans="1:7" ht="13.2" x14ac:dyDescent="0.25">
      <c r="A85" s="3">
        <v>84</v>
      </c>
      <c r="B85" s="3" t="s">
        <v>85</v>
      </c>
      <c r="C85" s="3">
        <v>7</v>
      </c>
      <c r="D85" s="3">
        <v>1</v>
      </c>
      <c r="E85" s="3">
        <v>2017</v>
      </c>
      <c r="F85" s="3">
        <v>109.99</v>
      </c>
      <c r="G85" s="7">
        <f>(E85*D85)-F85</f>
        <v>1907.01</v>
      </c>
    </row>
    <row r="86" spans="1:7" ht="13.2" x14ac:dyDescent="0.25">
      <c r="A86" s="3">
        <v>85</v>
      </c>
      <c r="B86" s="3" t="s">
        <v>86</v>
      </c>
      <c r="C86" s="3">
        <v>2</v>
      </c>
      <c r="D86" s="3">
        <v>1</v>
      </c>
      <c r="E86" s="3">
        <v>2017</v>
      </c>
      <c r="F86" s="3">
        <v>329.99</v>
      </c>
      <c r="G86" s="7">
        <f>(E86*D86)-F86</f>
        <v>1687.01</v>
      </c>
    </row>
    <row r="87" spans="1:7" ht="13.2" x14ac:dyDescent="0.25">
      <c r="A87" s="3">
        <v>86</v>
      </c>
      <c r="B87" s="3" t="s">
        <v>87</v>
      </c>
      <c r="C87" s="3">
        <v>9</v>
      </c>
      <c r="D87" s="3">
        <v>1</v>
      </c>
      <c r="E87" s="3">
        <v>2017</v>
      </c>
      <c r="F87" s="3">
        <v>149.99</v>
      </c>
      <c r="G87" s="7">
        <f>(E87*D87)-F87</f>
        <v>1867.01</v>
      </c>
    </row>
    <row r="88" spans="1:7" ht="13.2" x14ac:dyDescent="0.25">
      <c r="A88" s="3">
        <v>87</v>
      </c>
      <c r="B88" s="3" t="s">
        <v>88</v>
      </c>
      <c r="C88" s="3">
        <v>9</v>
      </c>
      <c r="D88" s="3">
        <v>1</v>
      </c>
      <c r="E88" s="3">
        <v>2017</v>
      </c>
      <c r="F88" s="3">
        <v>189.99</v>
      </c>
      <c r="G88" s="7">
        <f>(E88*D88)-F88</f>
        <v>1827.01</v>
      </c>
    </row>
    <row r="89" spans="1:7" ht="13.2" x14ac:dyDescent="0.25">
      <c r="A89" s="3">
        <v>88</v>
      </c>
      <c r="B89" s="3" t="s">
        <v>89</v>
      </c>
      <c r="C89" s="3">
        <v>9</v>
      </c>
      <c r="D89" s="3">
        <v>1</v>
      </c>
      <c r="E89" s="3">
        <v>2017</v>
      </c>
      <c r="F89" s="3">
        <v>189.99</v>
      </c>
      <c r="G89" s="7">
        <f>(E89*D89)-F89</f>
        <v>1827.01</v>
      </c>
    </row>
    <row r="90" spans="1:7" ht="13.2" x14ac:dyDescent="0.25">
      <c r="A90" s="3">
        <v>89</v>
      </c>
      <c r="B90" s="3" t="s">
        <v>90</v>
      </c>
      <c r="C90" s="3">
        <v>9</v>
      </c>
      <c r="D90" s="3">
        <v>1</v>
      </c>
      <c r="E90" s="3">
        <v>2017</v>
      </c>
      <c r="F90" s="3">
        <v>209.99</v>
      </c>
      <c r="G90" s="7">
        <f>(E90*D90)-F90</f>
        <v>1807.01</v>
      </c>
    </row>
    <row r="91" spans="1:7" ht="13.2" x14ac:dyDescent="0.25">
      <c r="A91" s="3">
        <v>90</v>
      </c>
      <c r="B91" s="3" t="s">
        <v>91</v>
      </c>
      <c r="C91" s="3">
        <v>9</v>
      </c>
      <c r="D91" s="3">
        <v>1</v>
      </c>
      <c r="E91" s="3">
        <v>2017</v>
      </c>
      <c r="F91" s="3">
        <v>209.99</v>
      </c>
      <c r="G91" s="7">
        <f>(E91*D91)-F91</f>
        <v>1807.01</v>
      </c>
    </row>
    <row r="92" spans="1:7" ht="13.2" x14ac:dyDescent="0.25">
      <c r="A92" s="3">
        <v>91</v>
      </c>
      <c r="B92" s="3" t="s">
        <v>92</v>
      </c>
      <c r="C92" s="3">
        <v>9</v>
      </c>
      <c r="D92" s="3">
        <v>1</v>
      </c>
      <c r="E92" s="3">
        <v>2017</v>
      </c>
      <c r="F92" s="3">
        <v>349.99</v>
      </c>
      <c r="G92" s="7">
        <f>(E92*D92)-F92</f>
        <v>1667.01</v>
      </c>
    </row>
    <row r="93" spans="1:7" ht="13.2" x14ac:dyDescent="0.25">
      <c r="A93" s="3">
        <v>92</v>
      </c>
      <c r="B93" s="3" t="s">
        <v>93</v>
      </c>
      <c r="C93" s="3">
        <v>2</v>
      </c>
      <c r="D93" s="3">
        <v>1</v>
      </c>
      <c r="E93" s="3">
        <v>2017</v>
      </c>
      <c r="F93" s="3">
        <v>209.99</v>
      </c>
      <c r="G93" s="7">
        <f>(E93*D93)-F93</f>
        <v>1807.01</v>
      </c>
    </row>
    <row r="94" spans="1:7" ht="13.2" x14ac:dyDescent="0.25">
      <c r="A94" s="3">
        <v>93</v>
      </c>
      <c r="B94" s="3" t="s">
        <v>94</v>
      </c>
      <c r="C94" s="3">
        <v>2</v>
      </c>
      <c r="D94" s="3">
        <v>1</v>
      </c>
      <c r="E94" s="3">
        <v>2017</v>
      </c>
      <c r="F94" s="3">
        <v>209.99</v>
      </c>
      <c r="G94" s="7">
        <f>(E94*D94)-F94</f>
        <v>1807.01</v>
      </c>
    </row>
    <row r="95" spans="1:7" ht="13.2" x14ac:dyDescent="0.25">
      <c r="A95" s="3">
        <v>94</v>
      </c>
      <c r="B95" s="3" t="s">
        <v>95</v>
      </c>
      <c r="C95" s="3">
        <v>2</v>
      </c>
      <c r="D95" s="3">
        <v>1</v>
      </c>
      <c r="E95" s="3">
        <v>2017</v>
      </c>
      <c r="F95" s="3">
        <v>249.99</v>
      </c>
      <c r="G95" s="7">
        <f>(E95*D95)-F95</f>
        <v>1767.01</v>
      </c>
    </row>
    <row r="96" spans="1:7" ht="13.2" x14ac:dyDescent="0.25">
      <c r="A96" s="3">
        <v>95</v>
      </c>
      <c r="B96" s="3" t="s">
        <v>77</v>
      </c>
      <c r="C96" s="3">
        <v>1</v>
      </c>
      <c r="D96" s="3">
        <v>1</v>
      </c>
      <c r="E96" s="3">
        <v>2017</v>
      </c>
      <c r="F96" s="3">
        <v>299.99</v>
      </c>
      <c r="G96" s="7">
        <f>(E96*D96)-F96</f>
        <v>1717.01</v>
      </c>
    </row>
    <row r="97" spans="1:7" ht="13.2" x14ac:dyDescent="0.25">
      <c r="A97" s="3">
        <v>96</v>
      </c>
      <c r="B97" s="3" t="s">
        <v>96</v>
      </c>
      <c r="C97" s="3">
        <v>1</v>
      </c>
      <c r="D97" s="3">
        <v>1</v>
      </c>
      <c r="E97" s="3">
        <v>2017</v>
      </c>
      <c r="F97" s="3">
        <v>349.99</v>
      </c>
      <c r="G97" s="7">
        <f>(E97*D97)-F97</f>
        <v>1667.01</v>
      </c>
    </row>
    <row r="98" spans="1:7" ht="13.2" x14ac:dyDescent="0.25">
      <c r="A98" s="3">
        <v>97</v>
      </c>
      <c r="B98" s="3" t="s">
        <v>97</v>
      </c>
      <c r="C98" s="3">
        <v>1</v>
      </c>
      <c r="D98" s="3">
        <v>1</v>
      </c>
      <c r="E98" s="3">
        <v>2017</v>
      </c>
      <c r="F98" s="3">
        <v>349.99</v>
      </c>
      <c r="G98" s="7">
        <f>(E98*D98)-F98</f>
        <v>1667.01</v>
      </c>
    </row>
    <row r="99" spans="1:7" ht="13.2" x14ac:dyDescent="0.25">
      <c r="A99" s="3">
        <v>98</v>
      </c>
      <c r="B99" s="3" t="s">
        <v>98</v>
      </c>
      <c r="C99" s="3">
        <v>1</v>
      </c>
      <c r="D99" s="3">
        <v>1</v>
      </c>
      <c r="E99" s="3">
        <v>2017</v>
      </c>
      <c r="F99" s="3">
        <v>489.99</v>
      </c>
      <c r="G99" s="7">
        <f>(E99*D99)-F99</f>
        <v>1527.01</v>
      </c>
    </row>
    <row r="100" spans="1:7" ht="13.2" x14ac:dyDescent="0.25">
      <c r="A100" s="3">
        <v>99</v>
      </c>
      <c r="B100" s="3" t="s">
        <v>99</v>
      </c>
      <c r="C100" s="3">
        <v>1</v>
      </c>
      <c r="D100" s="3">
        <v>1</v>
      </c>
      <c r="E100" s="3">
        <v>2017</v>
      </c>
      <c r="F100" s="3">
        <v>299.99</v>
      </c>
      <c r="G100" s="7">
        <f>(E100*D100)-F100</f>
        <v>1717.01</v>
      </c>
    </row>
    <row r="101" spans="1:7" ht="13.2" x14ac:dyDescent="0.25">
      <c r="A101" s="3">
        <v>100</v>
      </c>
      <c r="B101" s="3" t="s">
        <v>100</v>
      </c>
      <c r="C101" s="3">
        <v>1</v>
      </c>
      <c r="D101" s="3">
        <v>1</v>
      </c>
      <c r="E101" s="3">
        <v>2017</v>
      </c>
      <c r="F101" s="3">
        <v>489.99</v>
      </c>
      <c r="G101" s="7">
        <f>(E101*D101)-F101</f>
        <v>1527.01</v>
      </c>
    </row>
    <row r="102" spans="1:7" ht="13.2" x14ac:dyDescent="0.25">
      <c r="A102" s="3">
        <v>101</v>
      </c>
      <c r="B102" s="3" t="s">
        <v>101</v>
      </c>
      <c r="C102" s="3">
        <v>1</v>
      </c>
      <c r="D102" s="3">
        <v>1</v>
      </c>
      <c r="E102" s="3">
        <v>2017</v>
      </c>
      <c r="F102" s="3">
        <v>339.99</v>
      </c>
      <c r="G102" s="7">
        <f>(E102*D102)-F102</f>
        <v>1677.01</v>
      </c>
    </row>
    <row r="103" spans="1:7" ht="13.2" x14ac:dyDescent="0.25">
      <c r="A103" s="3">
        <v>102</v>
      </c>
      <c r="B103" s="3" t="s">
        <v>65</v>
      </c>
      <c r="C103" s="3">
        <v>1</v>
      </c>
      <c r="D103" s="3">
        <v>2</v>
      </c>
      <c r="E103" s="3">
        <v>2017</v>
      </c>
      <c r="F103" s="3">
        <v>489.99</v>
      </c>
      <c r="G103" s="7">
        <f>(E103*D103)-F103</f>
        <v>3544.01</v>
      </c>
    </row>
    <row r="104" spans="1:7" ht="13.2" x14ac:dyDescent="0.25">
      <c r="A104" s="3">
        <v>103</v>
      </c>
      <c r="B104" s="3" t="s">
        <v>102</v>
      </c>
      <c r="C104" s="3">
        <v>7</v>
      </c>
      <c r="D104" s="3">
        <v>2</v>
      </c>
      <c r="E104" s="3">
        <v>2017</v>
      </c>
      <c r="F104" s="3">
        <v>551.99</v>
      </c>
      <c r="G104" s="7">
        <f>(E104*D104)-F104</f>
        <v>3482.01</v>
      </c>
    </row>
    <row r="105" spans="1:7" ht="13.2" x14ac:dyDescent="0.25">
      <c r="A105" s="3">
        <v>104</v>
      </c>
      <c r="B105" s="3" t="s">
        <v>103</v>
      </c>
      <c r="C105" s="3">
        <v>7</v>
      </c>
      <c r="D105" s="3">
        <v>2</v>
      </c>
      <c r="E105" s="3">
        <v>2017</v>
      </c>
      <c r="F105" s="3">
        <v>481.99</v>
      </c>
      <c r="G105" s="7">
        <f>(E105*D105)-F105</f>
        <v>3552.01</v>
      </c>
    </row>
    <row r="106" spans="1:7" ht="13.2" x14ac:dyDescent="0.25">
      <c r="A106" s="3">
        <v>105</v>
      </c>
      <c r="B106" s="3" t="s">
        <v>104</v>
      </c>
      <c r="C106" s="3">
        <v>7</v>
      </c>
      <c r="D106" s="3">
        <v>2</v>
      </c>
      <c r="E106" s="3">
        <v>2017</v>
      </c>
      <c r="F106" s="3">
        <v>533.99</v>
      </c>
      <c r="G106" s="7">
        <f>(E106*D106)-F106</f>
        <v>3500.01</v>
      </c>
    </row>
    <row r="107" spans="1:7" ht="13.2" x14ac:dyDescent="0.25">
      <c r="A107" s="3">
        <v>106</v>
      </c>
      <c r="B107" s="3" t="s">
        <v>69</v>
      </c>
      <c r="C107" s="3">
        <v>7</v>
      </c>
      <c r="D107" s="3">
        <v>2</v>
      </c>
      <c r="E107" s="3">
        <v>2017</v>
      </c>
      <c r="F107" s="3">
        <v>449.99</v>
      </c>
      <c r="G107" s="7">
        <f>(E107*D107)-F107</f>
        <v>3584.01</v>
      </c>
    </row>
    <row r="108" spans="1:7" ht="13.2" x14ac:dyDescent="0.25">
      <c r="A108" s="3">
        <v>107</v>
      </c>
      <c r="B108" s="3" t="s">
        <v>70</v>
      </c>
      <c r="C108" s="3">
        <v>7</v>
      </c>
      <c r="D108" s="3">
        <v>2</v>
      </c>
      <c r="E108" s="3">
        <v>2017</v>
      </c>
      <c r="F108" s="3">
        <v>416.99</v>
      </c>
      <c r="G108" s="7">
        <f>(E108*D108)-F108</f>
        <v>3617.01</v>
      </c>
    </row>
    <row r="109" spans="1:7" ht="13.2" x14ac:dyDescent="0.25">
      <c r="A109" s="3">
        <v>108</v>
      </c>
      <c r="B109" s="3" t="s">
        <v>105</v>
      </c>
      <c r="C109" s="3">
        <v>7</v>
      </c>
      <c r="D109" s="3">
        <v>2</v>
      </c>
      <c r="E109" s="3">
        <v>2017</v>
      </c>
      <c r="F109" s="3">
        <v>449.99</v>
      </c>
      <c r="G109" s="7">
        <f>(E109*D109)-F109</f>
        <v>3584.01</v>
      </c>
    </row>
    <row r="110" spans="1:7" ht="13.2" x14ac:dyDescent="0.25">
      <c r="A110" s="3">
        <v>109</v>
      </c>
      <c r="B110" s="3" t="s">
        <v>106</v>
      </c>
      <c r="C110" s="3">
        <v>7</v>
      </c>
      <c r="D110" s="3">
        <v>2</v>
      </c>
      <c r="E110" s="3">
        <v>2017</v>
      </c>
      <c r="F110" s="3">
        <v>416.99</v>
      </c>
      <c r="G110" s="7">
        <f>(E110*D110)-F110</f>
        <v>3617.01</v>
      </c>
    </row>
    <row r="111" spans="1:7" ht="13.2" x14ac:dyDescent="0.25">
      <c r="A111" s="3">
        <v>110</v>
      </c>
      <c r="B111" s="3" t="s">
        <v>107</v>
      </c>
      <c r="C111" s="3">
        <v>7</v>
      </c>
      <c r="D111" s="3">
        <v>2</v>
      </c>
      <c r="E111" s="3">
        <v>2017</v>
      </c>
      <c r="F111" s="3">
        <v>470.99</v>
      </c>
      <c r="G111" s="7">
        <f>(E111*D111)-F111</f>
        <v>3563.01</v>
      </c>
    </row>
    <row r="112" spans="1:7" ht="13.2" x14ac:dyDescent="0.25">
      <c r="A112" s="3">
        <v>111</v>
      </c>
      <c r="B112" s="3" t="s">
        <v>108</v>
      </c>
      <c r="C112" s="3">
        <v>7</v>
      </c>
      <c r="D112" s="3">
        <v>2</v>
      </c>
      <c r="E112" s="3">
        <v>2017</v>
      </c>
      <c r="F112" s="3">
        <v>470.99</v>
      </c>
      <c r="G112" s="7">
        <f>(E112*D112)-F112</f>
        <v>3563.01</v>
      </c>
    </row>
    <row r="113" spans="1:7" ht="13.2" x14ac:dyDescent="0.25">
      <c r="A113" s="3">
        <v>112</v>
      </c>
      <c r="B113" s="3" t="s">
        <v>109</v>
      </c>
      <c r="C113" s="3">
        <v>9</v>
      </c>
      <c r="D113" s="3">
        <v>6</v>
      </c>
      <c r="E113" s="3">
        <v>2018</v>
      </c>
      <c r="F113" s="3">
        <v>379.99</v>
      </c>
      <c r="G113" s="7">
        <f>(E113*D113)-F113</f>
        <v>11728.01</v>
      </c>
    </row>
    <row r="114" spans="1:7" ht="13.2" x14ac:dyDescent="0.25">
      <c r="A114" s="3">
        <v>113</v>
      </c>
      <c r="B114" s="3" t="s">
        <v>110</v>
      </c>
      <c r="C114" s="3">
        <v>9</v>
      </c>
      <c r="D114" s="3">
        <v>6</v>
      </c>
      <c r="E114" s="3">
        <v>2018</v>
      </c>
      <c r="F114" s="3">
        <v>489.99</v>
      </c>
      <c r="G114" s="7">
        <f>(E114*D114)-F114</f>
        <v>11618.01</v>
      </c>
    </row>
    <row r="115" spans="1:7" ht="13.2" x14ac:dyDescent="0.25">
      <c r="A115" s="3">
        <v>114</v>
      </c>
      <c r="B115" s="3" t="s">
        <v>111</v>
      </c>
      <c r="C115" s="3">
        <v>9</v>
      </c>
      <c r="D115" s="3">
        <v>6</v>
      </c>
      <c r="E115" s="3">
        <v>2018</v>
      </c>
      <c r="F115" s="3">
        <v>579.99</v>
      </c>
      <c r="G115" s="7">
        <f>(E115*D115)-F115</f>
        <v>11528.01</v>
      </c>
    </row>
    <row r="116" spans="1:7" ht="13.2" x14ac:dyDescent="0.25">
      <c r="A116" s="3">
        <v>115</v>
      </c>
      <c r="B116" s="3" t="s">
        <v>112</v>
      </c>
      <c r="C116" s="3">
        <v>9</v>
      </c>
      <c r="D116" s="3">
        <v>6</v>
      </c>
      <c r="E116" s="3">
        <v>2018</v>
      </c>
      <c r="F116" s="3">
        <v>3199.99</v>
      </c>
      <c r="G116" s="7">
        <f>(E116*D116)-F116</f>
        <v>8908.01</v>
      </c>
    </row>
    <row r="117" spans="1:7" ht="13.2" x14ac:dyDescent="0.25">
      <c r="A117" s="3">
        <v>116</v>
      </c>
      <c r="B117" s="3" t="s">
        <v>113</v>
      </c>
      <c r="C117" s="3">
        <v>9</v>
      </c>
      <c r="D117" s="3">
        <v>6</v>
      </c>
      <c r="E117" s="3">
        <v>2018</v>
      </c>
      <c r="F117" s="3">
        <v>749.99</v>
      </c>
      <c r="G117" s="7">
        <f>(E117*D117)-F117</f>
        <v>11358.01</v>
      </c>
    </row>
    <row r="118" spans="1:7" ht="13.2" x14ac:dyDescent="0.25">
      <c r="A118" s="3">
        <v>117</v>
      </c>
      <c r="B118" s="3" t="s">
        <v>114</v>
      </c>
      <c r="C118" s="3">
        <v>9</v>
      </c>
      <c r="D118" s="3">
        <v>6</v>
      </c>
      <c r="E118" s="3">
        <v>2018</v>
      </c>
      <c r="F118" s="3">
        <v>1469.99</v>
      </c>
      <c r="G118" s="7">
        <f>(E118*D118)-F118</f>
        <v>10638.01</v>
      </c>
    </row>
    <row r="119" spans="1:7" ht="13.2" x14ac:dyDescent="0.25">
      <c r="A119" s="3">
        <v>118</v>
      </c>
      <c r="B119" s="3" t="s">
        <v>115</v>
      </c>
      <c r="C119" s="3">
        <v>9</v>
      </c>
      <c r="D119" s="3">
        <v>6</v>
      </c>
      <c r="E119" s="3">
        <v>2018</v>
      </c>
      <c r="F119" s="3">
        <v>999.99</v>
      </c>
      <c r="G119" s="7">
        <f>(E119*D119)-F119</f>
        <v>11108.01</v>
      </c>
    </row>
    <row r="120" spans="1:7" ht="13.2" x14ac:dyDescent="0.25">
      <c r="A120" s="3">
        <v>119</v>
      </c>
      <c r="B120" s="3" t="s">
        <v>116</v>
      </c>
      <c r="C120" s="3">
        <v>9</v>
      </c>
      <c r="D120" s="3">
        <v>6</v>
      </c>
      <c r="E120" s="3">
        <v>2018</v>
      </c>
      <c r="F120" s="3">
        <v>469.99</v>
      </c>
      <c r="G120" s="7">
        <f>(E120*D120)-F120</f>
        <v>11638.01</v>
      </c>
    </row>
    <row r="121" spans="1:7" ht="13.2" x14ac:dyDescent="0.25">
      <c r="A121" s="3">
        <v>120</v>
      </c>
      <c r="B121" s="3" t="s">
        <v>117</v>
      </c>
      <c r="C121" s="3">
        <v>9</v>
      </c>
      <c r="D121" s="3">
        <v>6</v>
      </c>
      <c r="E121" s="3">
        <v>2018</v>
      </c>
      <c r="F121" s="3">
        <v>2499.9899999999998</v>
      </c>
      <c r="G121" s="7">
        <f>(E121*D121)-F121</f>
        <v>9608.01</v>
      </c>
    </row>
    <row r="122" spans="1:7" ht="13.2" x14ac:dyDescent="0.25">
      <c r="A122" s="3">
        <v>121</v>
      </c>
      <c r="B122" s="3" t="s">
        <v>118</v>
      </c>
      <c r="C122" s="3">
        <v>8</v>
      </c>
      <c r="D122" s="3">
        <v>6</v>
      </c>
      <c r="E122" s="3">
        <v>2018</v>
      </c>
      <c r="F122" s="3">
        <v>2499.9899999999998</v>
      </c>
      <c r="G122" s="7">
        <f>(E122*D122)-F122</f>
        <v>9608.01</v>
      </c>
    </row>
    <row r="123" spans="1:7" ht="13.2" x14ac:dyDescent="0.25">
      <c r="A123" s="3">
        <v>122</v>
      </c>
      <c r="B123" s="3" t="s">
        <v>119</v>
      </c>
      <c r="C123" s="3">
        <v>8</v>
      </c>
      <c r="D123" s="3">
        <v>6</v>
      </c>
      <c r="E123" s="3">
        <v>2018</v>
      </c>
      <c r="F123" s="3">
        <v>2499.9899999999998</v>
      </c>
      <c r="G123" s="7">
        <f>(E123*D123)-F123</f>
        <v>9608.01</v>
      </c>
    </row>
    <row r="124" spans="1:7" ht="13.2" x14ac:dyDescent="0.25">
      <c r="A124" s="3">
        <v>123</v>
      </c>
      <c r="B124" s="3" t="s">
        <v>120</v>
      </c>
      <c r="C124" s="3">
        <v>9</v>
      </c>
      <c r="D124" s="3">
        <v>6</v>
      </c>
      <c r="E124" s="3">
        <v>2018</v>
      </c>
      <c r="F124" s="3">
        <v>999.99</v>
      </c>
      <c r="G124" s="7">
        <f>(E124*D124)-F124</f>
        <v>11108.01</v>
      </c>
    </row>
    <row r="125" spans="1:7" ht="13.2" x14ac:dyDescent="0.25">
      <c r="A125" s="3">
        <v>124</v>
      </c>
      <c r="B125" s="3" t="s">
        <v>121</v>
      </c>
      <c r="C125" s="3">
        <v>8</v>
      </c>
      <c r="D125" s="3">
        <v>6</v>
      </c>
      <c r="E125" s="3">
        <v>2018</v>
      </c>
      <c r="F125" s="3">
        <v>1499</v>
      </c>
      <c r="G125" s="7">
        <f>(E125*D125)-F125</f>
        <v>10609</v>
      </c>
    </row>
    <row r="126" spans="1:7" ht="13.2" x14ac:dyDescent="0.25">
      <c r="A126" s="3">
        <v>125</v>
      </c>
      <c r="B126" s="3" t="s">
        <v>122</v>
      </c>
      <c r="C126" s="3">
        <v>9</v>
      </c>
      <c r="D126" s="3">
        <v>6</v>
      </c>
      <c r="E126" s="3">
        <v>2018</v>
      </c>
      <c r="F126" s="3">
        <v>469.99</v>
      </c>
      <c r="G126" s="7">
        <f>(E126*D126)-F126</f>
        <v>11638.01</v>
      </c>
    </row>
    <row r="127" spans="1:7" ht="13.2" x14ac:dyDescent="0.25">
      <c r="A127" s="3">
        <v>126</v>
      </c>
      <c r="B127" s="3" t="s">
        <v>123</v>
      </c>
      <c r="C127" s="3">
        <v>8</v>
      </c>
      <c r="D127" s="3">
        <v>6</v>
      </c>
      <c r="E127" s="3">
        <v>2018</v>
      </c>
      <c r="F127" s="3">
        <v>469.99</v>
      </c>
      <c r="G127" s="7">
        <f>(E127*D127)-F127</f>
        <v>11638.01</v>
      </c>
    </row>
    <row r="128" spans="1:7" ht="13.2" x14ac:dyDescent="0.25">
      <c r="A128" s="3">
        <v>127</v>
      </c>
      <c r="B128" s="3" t="s">
        <v>124</v>
      </c>
      <c r="C128" s="3">
        <v>8</v>
      </c>
      <c r="D128" s="3">
        <v>6</v>
      </c>
      <c r="E128" s="3">
        <v>2018</v>
      </c>
      <c r="F128" s="3">
        <v>469.99</v>
      </c>
      <c r="G128" s="7">
        <f>(E128*D128)-F128</f>
        <v>11638.01</v>
      </c>
    </row>
    <row r="129" spans="1:7" ht="13.2" x14ac:dyDescent="0.25">
      <c r="A129" s="3">
        <v>128</v>
      </c>
      <c r="B129" s="3" t="s">
        <v>125</v>
      </c>
      <c r="C129" s="3">
        <v>8</v>
      </c>
      <c r="D129" s="3">
        <v>6</v>
      </c>
      <c r="E129" s="3">
        <v>2018</v>
      </c>
      <c r="F129" s="3">
        <v>1899</v>
      </c>
      <c r="G129" s="7">
        <f>(E129*D129)-F129</f>
        <v>10209</v>
      </c>
    </row>
    <row r="130" spans="1:7" ht="13.2" x14ac:dyDescent="0.25">
      <c r="A130" s="3">
        <v>129</v>
      </c>
      <c r="B130" s="3" t="s">
        <v>126</v>
      </c>
      <c r="C130" s="3">
        <v>9</v>
      </c>
      <c r="D130" s="3">
        <v>6</v>
      </c>
      <c r="E130" s="3">
        <v>2018</v>
      </c>
      <c r="F130" s="3">
        <v>919.99</v>
      </c>
      <c r="G130" s="7">
        <f>(E130*D130)-F130</f>
        <v>11188.01</v>
      </c>
    </row>
    <row r="131" spans="1:7" ht="13.2" x14ac:dyDescent="0.25">
      <c r="A131" s="3">
        <v>130</v>
      </c>
      <c r="B131" s="3" t="s">
        <v>127</v>
      </c>
      <c r="C131" s="3">
        <v>9</v>
      </c>
      <c r="D131" s="3">
        <v>6</v>
      </c>
      <c r="E131" s="3">
        <v>2018</v>
      </c>
      <c r="F131" s="3">
        <v>919.99</v>
      </c>
      <c r="G131" s="7">
        <f>(E131*D131)-F131</f>
        <v>11188.01</v>
      </c>
    </row>
    <row r="132" spans="1:7" ht="13.2" x14ac:dyDescent="0.25">
      <c r="A132" s="3">
        <v>131</v>
      </c>
      <c r="B132" s="3" t="s">
        <v>128</v>
      </c>
      <c r="C132" s="3">
        <v>3</v>
      </c>
      <c r="D132" s="3">
        <v>6</v>
      </c>
      <c r="E132" s="3">
        <v>2018</v>
      </c>
      <c r="F132" s="3">
        <v>2599</v>
      </c>
      <c r="G132" s="7">
        <f>(E132*D132)-F132</f>
        <v>9509</v>
      </c>
    </row>
    <row r="133" spans="1:7" ht="13.2" x14ac:dyDescent="0.25">
      <c r="A133" s="3">
        <v>132</v>
      </c>
      <c r="B133" s="3" t="s">
        <v>129</v>
      </c>
      <c r="C133" s="3">
        <v>9</v>
      </c>
      <c r="D133" s="3">
        <v>6</v>
      </c>
      <c r="E133" s="3">
        <v>2018</v>
      </c>
      <c r="F133" s="3">
        <v>1499.99</v>
      </c>
      <c r="G133" s="7">
        <f>(E133*D133)-F133</f>
        <v>10608.01</v>
      </c>
    </row>
    <row r="134" spans="1:7" ht="13.2" x14ac:dyDescent="0.25">
      <c r="A134" s="3">
        <v>133</v>
      </c>
      <c r="B134" s="3" t="s">
        <v>130</v>
      </c>
      <c r="C134" s="3">
        <v>9</v>
      </c>
      <c r="D134" s="3">
        <v>6</v>
      </c>
      <c r="E134" s="3">
        <v>2018</v>
      </c>
      <c r="F134" s="3">
        <v>1499.99</v>
      </c>
      <c r="G134" s="7">
        <f>(E134*D134)-F134</f>
        <v>10608.01</v>
      </c>
    </row>
    <row r="135" spans="1:7" ht="13.2" x14ac:dyDescent="0.25">
      <c r="A135" s="3">
        <v>134</v>
      </c>
      <c r="B135" s="3" t="s">
        <v>131</v>
      </c>
      <c r="C135" s="3">
        <v>9</v>
      </c>
      <c r="D135" s="3">
        <v>6</v>
      </c>
      <c r="E135" s="3">
        <v>2018</v>
      </c>
      <c r="F135" s="3">
        <v>1499.99</v>
      </c>
      <c r="G135" s="7">
        <f>(E135*D135)-F135</f>
        <v>10608.01</v>
      </c>
    </row>
    <row r="136" spans="1:7" ht="13.2" x14ac:dyDescent="0.25">
      <c r="A136" s="3">
        <v>135</v>
      </c>
      <c r="B136" s="3" t="s">
        <v>132</v>
      </c>
      <c r="C136" s="3">
        <v>9</v>
      </c>
      <c r="D136" s="3">
        <v>6</v>
      </c>
      <c r="E136" s="3">
        <v>2018</v>
      </c>
      <c r="F136" s="3">
        <v>1499.99</v>
      </c>
      <c r="G136" s="7">
        <f>(E136*D136)-F136</f>
        <v>10608.01</v>
      </c>
    </row>
    <row r="137" spans="1:7" ht="13.2" x14ac:dyDescent="0.25">
      <c r="A137" s="3">
        <v>136</v>
      </c>
      <c r="B137" s="3" t="s">
        <v>133</v>
      </c>
      <c r="C137" s="3">
        <v>9</v>
      </c>
      <c r="D137" s="3">
        <v>6</v>
      </c>
      <c r="E137" s="3">
        <v>2018</v>
      </c>
      <c r="F137" s="3">
        <v>1799.99</v>
      </c>
      <c r="G137" s="7">
        <f>(E137*D137)-F137</f>
        <v>10308.01</v>
      </c>
    </row>
    <row r="138" spans="1:7" ht="13.2" x14ac:dyDescent="0.25">
      <c r="A138" s="3">
        <v>137</v>
      </c>
      <c r="B138" s="3" t="s">
        <v>134</v>
      </c>
      <c r="C138" s="3">
        <v>3</v>
      </c>
      <c r="D138" s="3">
        <v>6</v>
      </c>
      <c r="E138" s="3">
        <v>2018</v>
      </c>
      <c r="F138" s="3">
        <v>2599</v>
      </c>
      <c r="G138" s="7">
        <f>(E138*D138)-F138</f>
        <v>9509</v>
      </c>
    </row>
    <row r="139" spans="1:7" ht="13.2" x14ac:dyDescent="0.25">
      <c r="A139" s="3">
        <v>138</v>
      </c>
      <c r="B139" s="3" t="s">
        <v>135</v>
      </c>
      <c r="C139" s="3">
        <v>9</v>
      </c>
      <c r="D139" s="3">
        <v>6</v>
      </c>
      <c r="E139" s="3">
        <v>2018</v>
      </c>
      <c r="F139" s="3">
        <v>2249.9899999999998</v>
      </c>
      <c r="G139" s="7">
        <f>(E139*D139)-F139</f>
        <v>9858.01</v>
      </c>
    </row>
    <row r="140" spans="1:7" ht="13.2" x14ac:dyDescent="0.25">
      <c r="A140" s="3">
        <v>139</v>
      </c>
      <c r="B140" s="3" t="s">
        <v>136</v>
      </c>
      <c r="C140" s="3">
        <v>9</v>
      </c>
      <c r="D140" s="3">
        <v>6</v>
      </c>
      <c r="E140" s="3">
        <v>2018</v>
      </c>
      <c r="F140" s="3">
        <v>2999.99</v>
      </c>
      <c r="G140" s="7">
        <f>(E140*D140)-F140</f>
        <v>9108.01</v>
      </c>
    </row>
    <row r="141" spans="1:7" ht="13.2" x14ac:dyDescent="0.25">
      <c r="A141" s="3">
        <v>140</v>
      </c>
      <c r="B141" s="3" t="s">
        <v>137</v>
      </c>
      <c r="C141" s="3">
        <v>9</v>
      </c>
      <c r="D141" s="3">
        <v>6</v>
      </c>
      <c r="E141" s="3">
        <v>2018</v>
      </c>
      <c r="F141" s="3">
        <v>4999.99</v>
      </c>
      <c r="G141" s="7">
        <f>(E141*D141)-F141</f>
        <v>7108.01</v>
      </c>
    </row>
    <row r="142" spans="1:7" ht="13.2" x14ac:dyDescent="0.25">
      <c r="A142" s="3">
        <v>141</v>
      </c>
      <c r="B142" s="3" t="s">
        <v>138</v>
      </c>
      <c r="C142" s="3">
        <v>9</v>
      </c>
      <c r="D142" s="3">
        <v>6</v>
      </c>
      <c r="E142" s="3">
        <v>2018</v>
      </c>
      <c r="F142" s="3">
        <v>1599.99</v>
      </c>
      <c r="G142" s="7">
        <f>(E142*D142)-F142</f>
        <v>10508.01</v>
      </c>
    </row>
    <row r="143" spans="1:7" ht="13.2" x14ac:dyDescent="0.25">
      <c r="A143" s="3">
        <v>142</v>
      </c>
      <c r="B143" s="3" t="s">
        <v>139</v>
      </c>
      <c r="C143" s="3">
        <v>9</v>
      </c>
      <c r="D143" s="3">
        <v>6</v>
      </c>
      <c r="E143" s="3">
        <v>2018</v>
      </c>
      <c r="F143" s="3">
        <v>3199.99</v>
      </c>
      <c r="G143" s="7">
        <f>(E143*D143)-F143</f>
        <v>8908.01</v>
      </c>
    </row>
    <row r="144" spans="1:7" ht="13.2" x14ac:dyDescent="0.25">
      <c r="A144" s="3">
        <v>143</v>
      </c>
      <c r="B144" s="3" t="s">
        <v>140</v>
      </c>
      <c r="C144" s="3">
        <v>9</v>
      </c>
      <c r="D144" s="3">
        <v>7</v>
      </c>
      <c r="E144" s="3">
        <v>2018</v>
      </c>
      <c r="F144" s="3">
        <v>1099.99</v>
      </c>
      <c r="G144" s="7">
        <f>(E144*D144)-F144</f>
        <v>13026.01</v>
      </c>
    </row>
    <row r="145" spans="1:7" ht="13.2" x14ac:dyDescent="0.25">
      <c r="A145" s="3">
        <v>144</v>
      </c>
      <c r="B145" s="3" t="s">
        <v>141</v>
      </c>
      <c r="C145" s="3">
        <v>9</v>
      </c>
      <c r="D145" s="3">
        <v>7</v>
      </c>
      <c r="E145" s="3">
        <v>2018</v>
      </c>
      <c r="F145" s="3">
        <v>1549.99</v>
      </c>
      <c r="G145" s="7">
        <f>(E145*D145)-F145</f>
        <v>12576.01</v>
      </c>
    </row>
    <row r="146" spans="1:7" ht="13.2" x14ac:dyDescent="0.25">
      <c r="A146" s="3">
        <v>145</v>
      </c>
      <c r="B146" s="3" t="s">
        <v>142</v>
      </c>
      <c r="C146" s="3">
        <v>9</v>
      </c>
      <c r="D146" s="3">
        <v>7</v>
      </c>
      <c r="E146" s="3">
        <v>2018</v>
      </c>
      <c r="F146" s="3">
        <v>1799.99</v>
      </c>
      <c r="G146" s="7">
        <f>(E146*D146)-F146</f>
        <v>12326.01</v>
      </c>
    </row>
    <row r="147" spans="1:7" ht="13.2" x14ac:dyDescent="0.25">
      <c r="A147" s="3">
        <v>146</v>
      </c>
      <c r="B147" s="3" t="s">
        <v>143</v>
      </c>
      <c r="C147" s="3">
        <v>9</v>
      </c>
      <c r="D147" s="3">
        <v>7</v>
      </c>
      <c r="E147" s="3">
        <v>2018</v>
      </c>
      <c r="F147" s="3">
        <v>4999.99</v>
      </c>
      <c r="G147" s="7">
        <f>(E147*D147)-F147</f>
        <v>9126.01</v>
      </c>
    </row>
    <row r="148" spans="1:7" ht="13.2" x14ac:dyDescent="0.25">
      <c r="A148" s="3">
        <v>147</v>
      </c>
      <c r="B148" s="3" t="s">
        <v>144</v>
      </c>
      <c r="C148" s="3">
        <v>9</v>
      </c>
      <c r="D148" s="3">
        <v>7</v>
      </c>
      <c r="E148" s="3">
        <v>2018</v>
      </c>
      <c r="F148" s="3">
        <v>1799.99</v>
      </c>
      <c r="G148" s="7">
        <f>(E148*D148)-F148</f>
        <v>12326.01</v>
      </c>
    </row>
    <row r="149" spans="1:7" ht="13.2" x14ac:dyDescent="0.25">
      <c r="A149" s="3">
        <v>148</v>
      </c>
      <c r="B149" s="3" t="s">
        <v>145</v>
      </c>
      <c r="C149" s="3">
        <v>9</v>
      </c>
      <c r="D149" s="3">
        <v>7</v>
      </c>
      <c r="E149" s="3">
        <v>2018</v>
      </c>
      <c r="F149" s="3">
        <v>5499.99</v>
      </c>
      <c r="G149" s="7">
        <f>(E149*D149)-F149</f>
        <v>8626.01</v>
      </c>
    </row>
    <row r="150" spans="1:7" ht="13.2" x14ac:dyDescent="0.25">
      <c r="A150" s="3">
        <v>149</v>
      </c>
      <c r="B150" s="3" t="s">
        <v>146</v>
      </c>
      <c r="C150" s="3">
        <v>9</v>
      </c>
      <c r="D150" s="3">
        <v>7</v>
      </c>
      <c r="E150" s="3">
        <v>2018</v>
      </c>
      <c r="F150" s="3">
        <v>7499.99</v>
      </c>
      <c r="G150" s="7">
        <f>(E150*D150)-F150</f>
        <v>6626.01</v>
      </c>
    </row>
    <row r="151" spans="1:7" ht="13.2" x14ac:dyDescent="0.25">
      <c r="A151" s="3">
        <v>150</v>
      </c>
      <c r="B151" s="3" t="s">
        <v>147</v>
      </c>
      <c r="C151" s="3">
        <v>9</v>
      </c>
      <c r="D151" s="3">
        <v>7</v>
      </c>
      <c r="E151" s="3">
        <v>2018</v>
      </c>
      <c r="F151" s="3">
        <v>4499.99</v>
      </c>
      <c r="G151" s="7">
        <f>(E151*D151)-F151</f>
        <v>9626.01</v>
      </c>
    </row>
    <row r="152" spans="1:7" ht="13.2" x14ac:dyDescent="0.25">
      <c r="A152" s="3">
        <v>151</v>
      </c>
      <c r="B152" s="3" t="s">
        <v>148</v>
      </c>
      <c r="C152" s="3">
        <v>9</v>
      </c>
      <c r="D152" s="3">
        <v>7</v>
      </c>
      <c r="E152" s="3">
        <v>2018</v>
      </c>
      <c r="F152" s="3">
        <v>1549.99</v>
      </c>
      <c r="G152" s="7">
        <f>(E152*D152)-F152</f>
        <v>12576.01</v>
      </c>
    </row>
    <row r="153" spans="1:7" ht="13.2" x14ac:dyDescent="0.25">
      <c r="A153" s="3">
        <v>152</v>
      </c>
      <c r="B153" s="3" t="s">
        <v>149</v>
      </c>
      <c r="C153" s="3">
        <v>9</v>
      </c>
      <c r="D153" s="3">
        <v>7</v>
      </c>
      <c r="E153" s="3">
        <v>2018</v>
      </c>
      <c r="F153" s="3">
        <v>2499.9899999999998</v>
      </c>
      <c r="G153" s="7">
        <f>(E153*D153)-F153</f>
        <v>11626.01</v>
      </c>
    </row>
    <row r="154" spans="1:7" ht="13.2" x14ac:dyDescent="0.25">
      <c r="A154" s="3">
        <v>153</v>
      </c>
      <c r="B154" s="3" t="s">
        <v>150</v>
      </c>
      <c r="C154" s="3">
        <v>9</v>
      </c>
      <c r="D154" s="3">
        <v>7</v>
      </c>
      <c r="E154" s="3">
        <v>2018</v>
      </c>
      <c r="F154" s="3">
        <v>4999.99</v>
      </c>
      <c r="G154" s="7">
        <f>(E154*D154)-F154</f>
        <v>9126.01</v>
      </c>
    </row>
    <row r="155" spans="1:7" ht="13.2" x14ac:dyDescent="0.25">
      <c r="A155" s="3">
        <v>154</v>
      </c>
      <c r="B155" s="3" t="s">
        <v>151</v>
      </c>
      <c r="C155" s="3">
        <v>9</v>
      </c>
      <c r="D155" s="3">
        <v>7</v>
      </c>
      <c r="E155" s="3">
        <v>2018</v>
      </c>
      <c r="F155" s="3">
        <v>5499.99</v>
      </c>
      <c r="G155" s="7">
        <f>(E155*D155)-F155</f>
        <v>8626.01</v>
      </c>
    </row>
    <row r="156" spans="1:7" ht="13.2" x14ac:dyDescent="0.25">
      <c r="A156" s="3">
        <v>155</v>
      </c>
      <c r="B156" s="3" t="s">
        <v>152</v>
      </c>
      <c r="C156" s="3">
        <v>9</v>
      </c>
      <c r="D156" s="3">
        <v>7</v>
      </c>
      <c r="E156" s="3">
        <v>2018</v>
      </c>
      <c r="F156" s="3">
        <v>11999.99</v>
      </c>
      <c r="G156" s="7">
        <f>(E156*D156)-F156</f>
        <v>2126.0100000000002</v>
      </c>
    </row>
    <row r="157" spans="1:7" ht="13.2" x14ac:dyDescent="0.25">
      <c r="A157" s="3">
        <v>156</v>
      </c>
      <c r="B157" s="3" t="s">
        <v>153</v>
      </c>
      <c r="C157" s="3">
        <v>9</v>
      </c>
      <c r="D157" s="3">
        <v>7</v>
      </c>
      <c r="E157" s="3">
        <v>2018</v>
      </c>
      <c r="F157" s="3">
        <v>6499.99</v>
      </c>
      <c r="G157" s="7">
        <f>(E157*D157)-F157</f>
        <v>7626.01</v>
      </c>
    </row>
    <row r="158" spans="1:7" ht="13.2" x14ac:dyDescent="0.25">
      <c r="A158" s="3">
        <v>157</v>
      </c>
      <c r="B158" s="3" t="s">
        <v>154</v>
      </c>
      <c r="C158" s="3">
        <v>9</v>
      </c>
      <c r="D158" s="3">
        <v>7</v>
      </c>
      <c r="E158" s="3">
        <v>2018</v>
      </c>
      <c r="F158" s="3">
        <v>6499.99</v>
      </c>
      <c r="G158" s="7">
        <f>(E158*D158)-F158</f>
        <v>7626.01</v>
      </c>
    </row>
    <row r="159" spans="1:7" ht="13.2" x14ac:dyDescent="0.25">
      <c r="A159" s="3">
        <v>158</v>
      </c>
      <c r="B159" s="3" t="s">
        <v>155</v>
      </c>
      <c r="C159" s="3">
        <v>9</v>
      </c>
      <c r="D159" s="3">
        <v>7</v>
      </c>
      <c r="E159" s="3">
        <v>2018</v>
      </c>
      <c r="F159" s="3">
        <v>959.99</v>
      </c>
      <c r="G159" s="7">
        <f>(E159*D159)-F159</f>
        <v>13166.01</v>
      </c>
    </row>
    <row r="160" spans="1:7" ht="13.2" x14ac:dyDescent="0.25">
      <c r="A160" s="3">
        <v>159</v>
      </c>
      <c r="B160" s="3" t="s">
        <v>156</v>
      </c>
      <c r="C160" s="3">
        <v>9</v>
      </c>
      <c r="D160" s="3">
        <v>7</v>
      </c>
      <c r="E160" s="3">
        <v>2018</v>
      </c>
      <c r="F160" s="3">
        <v>2299.9899999999998</v>
      </c>
      <c r="G160" s="7">
        <f>(E160*D160)-F160</f>
        <v>11826.01</v>
      </c>
    </row>
    <row r="161" spans="1:7" ht="13.2" x14ac:dyDescent="0.25">
      <c r="A161" s="3">
        <v>160</v>
      </c>
      <c r="B161" s="3" t="s">
        <v>157</v>
      </c>
      <c r="C161" s="3">
        <v>9</v>
      </c>
      <c r="D161" s="3">
        <v>7</v>
      </c>
      <c r="E161" s="3">
        <v>2018</v>
      </c>
      <c r="F161" s="3">
        <v>4499.99</v>
      </c>
      <c r="G161" s="7">
        <f>(E161*D161)-F161</f>
        <v>9626.01</v>
      </c>
    </row>
    <row r="162" spans="1:7" ht="13.2" x14ac:dyDescent="0.25">
      <c r="A162" s="3">
        <v>161</v>
      </c>
      <c r="B162" s="3" t="s">
        <v>158</v>
      </c>
      <c r="C162" s="3">
        <v>8</v>
      </c>
      <c r="D162" s="3">
        <v>7</v>
      </c>
      <c r="E162" s="3">
        <v>2018</v>
      </c>
      <c r="F162" s="3">
        <v>1899</v>
      </c>
      <c r="G162" s="7">
        <f>(E162*D162)-F162</f>
        <v>12227</v>
      </c>
    </row>
    <row r="163" spans="1:7" ht="13.2" x14ac:dyDescent="0.25">
      <c r="A163" s="3">
        <v>162</v>
      </c>
      <c r="B163" s="3" t="s">
        <v>159</v>
      </c>
      <c r="C163" s="3">
        <v>9</v>
      </c>
      <c r="D163" s="3">
        <v>7</v>
      </c>
      <c r="E163" s="3">
        <v>2018</v>
      </c>
      <c r="F163" s="3">
        <v>2999.99</v>
      </c>
      <c r="G163" s="7">
        <f>(E163*D163)-F163</f>
        <v>11126.01</v>
      </c>
    </row>
    <row r="164" spans="1:7" ht="13.2" x14ac:dyDescent="0.25">
      <c r="A164" s="3">
        <v>163</v>
      </c>
      <c r="B164" s="3" t="s">
        <v>160</v>
      </c>
      <c r="C164" s="3">
        <v>8</v>
      </c>
      <c r="D164" s="3">
        <v>7</v>
      </c>
      <c r="E164" s="3">
        <v>2018</v>
      </c>
      <c r="F164" s="3">
        <v>1349</v>
      </c>
      <c r="G164" s="7">
        <f>(E164*D164)-F164</f>
        <v>12777</v>
      </c>
    </row>
    <row r="165" spans="1:7" ht="13.2" x14ac:dyDescent="0.25">
      <c r="A165" s="3">
        <v>164</v>
      </c>
      <c r="B165" s="3" t="s">
        <v>161</v>
      </c>
      <c r="C165" s="3">
        <v>8</v>
      </c>
      <c r="D165" s="3">
        <v>7</v>
      </c>
      <c r="E165" s="3">
        <v>2018</v>
      </c>
      <c r="F165" s="3">
        <v>1549</v>
      </c>
      <c r="G165" s="7">
        <f>(E165*D165)-F165</f>
        <v>12577</v>
      </c>
    </row>
    <row r="166" spans="1:7" ht="13.2" x14ac:dyDescent="0.25">
      <c r="A166" s="3">
        <v>165</v>
      </c>
      <c r="B166" s="3" t="s">
        <v>162</v>
      </c>
      <c r="C166" s="3">
        <v>9</v>
      </c>
      <c r="D166" s="3">
        <v>7</v>
      </c>
      <c r="E166" s="3">
        <v>2018</v>
      </c>
      <c r="F166" s="3">
        <v>2499.9899999999998</v>
      </c>
      <c r="G166" s="7">
        <f>(E166*D166)-F166</f>
        <v>11626.01</v>
      </c>
    </row>
    <row r="167" spans="1:7" ht="13.2" x14ac:dyDescent="0.25">
      <c r="A167" s="3">
        <v>166</v>
      </c>
      <c r="B167" s="3" t="s">
        <v>163</v>
      </c>
      <c r="C167" s="3">
        <v>9</v>
      </c>
      <c r="D167" s="3">
        <v>7</v>
      </c>
      <c r="E167" s="3">
        <v>2018</v>
      </c>
      <c r="F167" s="3">
        <v>749.99</v>
      </c>
      <c r="G167" s="7">
        <f>(E167*D167)-F167</f>
        <v>13376.01</v>
      </c>
    </row>
    <row r="168" spans="1:7" ht="13.2" x14ac:dyDescent="0.25">
      <c r="A168" s="3">
        <v>167</v>
      </c>
      <c r="B168" s="3" t="s">
        <v>164</v>
      </c>
      <c r="C168" s="3">
        <v>8</v>
      </c>
      <c r="D168" s="3">
        <v>7</v>
      </c>
      <c r="E168" s="3">
        <v>2018</v>
      </c>
      <c r="F168" s="3">
        <v>749.99</v>
      </c>
      <c r="G168" s="7">
        <f>(E168*D168)-F168</f>
        <v>13376.01</v>
      </c>
    </row>
    <row r="169" spans="1:7" ht="13.2" x14ac:dyDescent="0.25">
      <c r="A169" s="3">
        <v>168</v>
      </c>
      <c r="B169" s="3" t="s">
        <v>165</v>
      </c>
      <c r="C169" s="3">
        <v>8</v>
      </c>
      <c r="D169" s="3">
        <v>7</v>
      </c>
      <c r="E169" s="3">
        <v>2018</v>
      </c>
      <c r="F169" s="3">
        <v>1549</v>
      </c>
      <c r="G169" s="7">
        <f>(E169*D169)-F169</f>
        <v>12577</v>
      </c>
    </row>
    <row r="170" spans="1:7" ht="13.2" x14ac:dyDescent="0.25">
      <c r="A170" s="3">
        <v>169</v>
      </c>
      <c r="B170" s="3" t="s">
        <v>166</v>
      </c>
      <c r="C170" s="3">
        <v>9</v>
      </c>
      <c r="D170" s="3">
        <v>7</v>
      </c>
      <c r="E170" s="3">
        <v>2018</v>
      </c>
      <c r="F170" s="3">
        <v>6499.99</v>
      </c>
      <c r="G170" s="7">
        <f>(E170*D170)-F170</f>
        <v>7626.01</v>
      </c>
    </row>
    <row r="171" spans="1:7" ht="13.2" x14ac:dyDescent="0.25">
      <c r="A171" s="3">
        <v>170</v>
      </c>
      <c r="B171" s="3" t="s">
        <v>167</v>
      </c>
      <c r="C171" s="3">
        <v>9</v>
      </c>
      <c r="D171" s="3">
        <v>7</v>
      </c>
      <c r="E171" s="3">
        <v>2018</v>
      </c>
      <c r="F171" s="3">
        <v>1299.99</v>
      </c>
      <c r="G171" s="7">
        <f>(E171*D171)-F171</f>
        <v>12826.01</v>
      </c>
    </row>
    <row r="172" spans="1:7" ht="13.2" x14ac:dyDescent="0.25">
      <c r="A172" s="3">
        <v>171</v>
      </c>
      <c r="B172" s="3" t="s">
        <v>168</v>
      </c>
      <c r="C172" s="3">
        <v>9</v>
      </c>
      <c r="D172" s="3">
        <v>7</v>
      </c>
      <c r="E172" s="3">
        <v>2018</v>
      </c>
      <c r="F172" s="3">
        <v>3199.99</v>
      </c>
      <c r="G172" s="7">
        <f>(E172*D172)-F172</f>
        <v>10926.01</v>
      </c>
    </row>
    <row r="173" spans="1:7" ht="13.2" x14ac:dyDescent="0.25">
      <c r="A173" s="3">
        <v>172</v>
      </c>
      <c r="B173" s="3" t="s">
        <v>169</v>
      </c>
      <c r="C173" s="3">
        <v>9</v>
      </c>
      <c r="D173" s="3">
        <v>7</v>
      </c>
      <c r="E173" s="3">
        <v>2018</v>
      </c>
      <c r="F173" s="3">
        <v>3199.99</v>
      </c>
      <c r="G173" s="7">
        <f>(E173*D173)-F173</f>
        <v>10926.01</v>
      </c>
    </row>
    <row r="174" spans="1:7" ht="13.2" x14ac:dyDescent="0.25">
      <c r="A174" s="3">
        <v>173</v>
      </c>
      <c r="B174" s="3" t="s">
        <v>170</v>
      </c>
      <c r="C174" s="3">
        <v>9</v>
      </c>
      <c r="D174" s="3">
        <v>7</v>
      </c>
      <c r="E174" s="3">
        <v>2018</v>
      </c>
      <c r="F174" s="3">
        <v>3199.99</v>
      </c>
      <c r="G174" s="7">
        <f>(E174*D174)-F174</f>
        <v>10926.01</v>
      </c>
    </row>
    <row r="175" spans="1:7" ht="13.2" x14ac:dyDescent="0.25">
      <c r="A175" s="3">
        <v>174</v>
      </c>
      <c r="B175" s="3" t="s">
        <v>171</v>
      </c>
      <c r="C175" s="3">
        <v>9</v>
      </c>
      <c r="D175" s="3">
        <v>7</v>
      </c>
      <c r="E175" s="3">
        <v>2018</v>
      </c>
      <c r="F175" s="3">
        <v>3199.99</v>
      </c>
      <c r="G175" s="7">
        <f>(E175*D175)-F175</f>
        <v>10926.01</v>
      </c>
    </row>
    <row r="176" spans="1:7" ht="13.2" x14ac:dyDescent="0.25">
      <c r="A176" s="3">
        <v>175</v>
      </c>
      <c r="B176" s="3" t="s">
        <v>172</v>
      </c>
      <c r="C176" s="3">
        <v>9</v>
      </c>
      <c r="D176" s="3">
        <v>7</v>
      </c>
      <c r="E176" s="3">
        <v>2018</v>
      </c>
      <c r="F176" s="3">
        <v>3199.99</v>
      </c>
      <c r="G176" s="7">
        <f>(E176*D176)-F176</f>
        <v>10926.01</v>
      </c>
    </row>
    <row r="177" spans="1:7" ht="13.2" x14ac:dyDescent="0.25">
      <c r="A177" s="3">
        <v>176</v>
      </c>
      <c r="B177" s="3" t="s">
        <v>173</v>
      </c>
      <c r="C177" s="3">
        <v>9</v>
      </c>
      <c r="D177" s="3">
        <v>7</v>
      </c>
      <c r="E177" s="3">
        <v>2018</v>
      </c>
      <c r="F177" s="3">
        <v>3199.99</v>
      </c>
      <c r="G177" s="7">
        <f>(E177*D177)-F177</f>
        <v>10926.01</v>
      </c>
    </row>
    <row r="178" spans="1:7" ht="13.2" x14ac:dyDescent="0.25">
      <c r="A178" s="3">
        <v>177</v>
      </c>
      <c r="B178" s="3" t="s">
        <v>174</v>
      </c>
      <c r="C178" s="3">
        <v>9</v>
      </c>
      <c r="D178" s="3">
        <v>7</v>
      </c>
      <c r="E178" s="3">
        <v>2018</v>
      </c>
      <c r="F178" s="3">
        <v>5499.99</v>
      </c>
      <c r="G178" s="7">
        <f>(E178*D178)-F178</f>
        <v>8626.01</v>
      </c>
    </row>
    <row r="179" spans="1:7" ht="13.2" x14ac:dyDescent="0.25">
      <c r="A179" s="3">
        <v>178</v>
      </c>
      <c r="B179" s="3" t="s">
        <v>175</v>
      </c>
      <c r="C179" s="3">
        <v>9</v>
      </c>
      <c r="D179" s="3">
        <v>7</v>
      </c>
      <c r="E179" s="3">
        <v>2018</v>
      </c>
      <c r="F179" s="3">
        <v>749.99</v>
      </c>
      <c r="G179" s="7">
        <f>(E179*D179)-F179</f>
        <v>13376.01</v>
      </c>
    </row>
    <row r="180" spans="1:7" ht="13.2" x14ac:dyDescent="0.25">
      <c r="A180" s="3">
        <v>179</v>
      </c>
      <c r="B180" s="3" t="s">
        <v>176</v>
      </c>
      <c r="C180" s="3">
        <v>9</v>
      </c>
      <c r="D180" s="3">
        <v>7</v>
      </c>
      <c r="E180" s="3">
        <v>2018</v>
      </c>
      <c r="F180" s="3">
        <v>919.99</v>
      </c>
      <c r="G180" s="7">
        <f>(E180*D180)-F180</f>
        <v>13206.01</v>
      </c>
    </row>
    <row r="181" spans="1:7" ht="13.2" x14ac:dyDescent="0.25">
      <c r="A181" s="3">
        <v>180</v>
      </c>
      <c r="B181" s="3" t="s">
        <v>177</v>
      </c>
      <c r="C181" s="3">
        <v>9</v>
      </c>
      <c r="D181" s="3">
        <v>7</v>
      </c>
      <c r="E181" s="3">
        <v>2018</v>
      </c>
      <c r="F181" s="3">
        <v>919.99</v>
      </c>
      <c r="G181" s="7">
        <f>(E181*D181)-F181</f>
        <v>13206.01</v>
      </c>
    </row>
    <row r="182" spans="1:7" ht="13.2" x14ac:dyDescent="0.25">
      <c r="A182" s="3">
        <v>181</v>
      </c>
      <c r="B182" s="3" t="s">
        <v>178</v>
      </c>
      <c r="C182" s="3">
        <v>9</v>
      </c>
      <c r="D182" s="3">
        <v>7</v>
      </c>
      <c r="E182" s="3">
        <v>2018</v>
      </c>
      <c r="F182" s="3">
        <v>2199.9899999999998</v>
      </c>
      <c r="G182" s="7">
        <f>(E182*D182)-F182</f>
        <v>11926.01</v>
      </c>
    </row>
    <row r="183" spans="1:7" ht="13.2" x14ac:dyDescent="0.25">
      <c r="A183" s="3">
        <v>182</v>
      </c>
      <c r="B183" s="3" t="s">
        <v>179</v>
      </c>
      <c r="C183" s="3">
        <v>9</v>
      </c>
      <c r="D183" s="3">
        <v>7</v>
      </c>
      <c r="E183" s="3">
        <v>2018</v>
      </c>
      <c r="F183" s="3">
        <v>2499.9899999999998</v>
      </c>
      <c r="G183" s="7">
        <f>(E183*D183)-F183</f>
        <v>11626.01</v>
      </c>
    </row>
    <row r="184" spans="1:7" ht="13.2" x14ac:dyDescent="0.25">
      <c r="A184" s="3">
        <v>183</v>
      </c>
      <c r="B184" s="3" t="s">
        <v>180</v>
      </c>
      <c r="C184" s="3">
        <v>9</v>
      </c>
      <c r="D184" s="3">
        <v>7</v>
      </c>
      <c r="E184" s="3">
        <v>2018</v>
      </c>
      <c r="F184" s="3">
        <v>2199.9899999999998</v>
      </c>
      <c r="G184" s="7">
        <f>(E184*D184)-F184</f>
        <v>11926.01</v>
      </c>
    </row>
    <row r="185" spans="1:7" ht="13.2" x14ac:dyDescent="0.25">
      <c r="A185" s="3">
        <v>184</v>
      </c>
      <c r="B185" s="3" t="s">
        <v>181</v>
      </c>
      <c r="C185" s="3">
        <v>9</v>
      </c>
      <c r="D185" s="3">
        <v>7</v>
      </c>
      <c r="E185" s="3">
        <v>2018</v>
      </c>
      <c r="F185" s="3">
        <v>3499.99</v>
      </c>
      <c r="G185" s="7">
        <f>(E185*D185)-F185</f>
        <v>10626.01</v>
      </c>
    </row>
    <row r="186" spans="1:7" ht="13.2" x14ac:dyDescent="0.25">
      <c r="A186" s="3">
        <v>185</v>
      </c>
      <c r="B186" s="3" t="s">
        <v>182</v>
      </c>
      <c r="C186" s="3">
        <v>9</v>
      </c>
      <c r="D186" s="3">
        <v>5</v>
      </c>
      <c r="E186" s="3">
        <v>2018</v>
      </c>
      <c r="F186" s="3">
        <v>2799.99</v>
      </c>
      <c r="G186" s="7">
        <f>(E186*D186)-F186</f>
        <v>7290.01</v>
      </c>
    </row>
    <row r="187" spans="1:7" ht="13.2" x14ac:dyDescent="0.25">
      <c r="A187" s="3">
        <v>186</v>
      </c>
      <c r="B187" s="3" t="s">
        <v>183</v>
      </c>
      <c r="C187" s="3">
        <v>9</v>
      </c>
      <c r="D187" s="3">
        <v>5</v>
      </c>
      <c r="E187" s="3">
        <v>2018</v>
      </c>
      <c r="F187" s="3">
        <v>4499.99</v>
      </c>
      <c r="G187" s="7">
        <f>(E187*D187)-F187</f>
        <v>5590.01</v>
      </c>
    </row>
    <row r="188" spans="1:7" ht="13.2" x14ac:dyDescent="0.25">
      <c r="A188" s="3">
        <v>187</v>
      </c>
      <c r="B188" s="3" t="s">
        <v>184</v>
      </c>
      <c r="C188" s="3">
        <v>9</v>
      </c>
      <c r="D188" s="3">
        <v>5</v>
      </c>
      <c r="E188" s="3">
        <v>2018</v>
      </c>
      <c r="F188" s="3">
        <v>2799.99</v>
      </c>
      <c r="G188" s="7">
        <f>(E188*D188)-F188</f>
        <v>7290.01</v>
      </c>
    </row>
    <row r="189" spans="1:7" ht="13.2" x14ac:dyDescent="0.25">
      <c r="A189" s="3">
        <v>188</v>
      </c>
      <c r="B189" s="3" t="s">
        <v>185</v>
      </c>
      <c r="C189" s="3">
        <v>9</v>
      </c>
      <c r="D189" s="3">
        <v>5</v>
      </c>
      <c r="E189" s="3">
        <v>2018</v>
      </c>
      <c r="F189" s="3">
        <v>3499.99</v>
      </c>
      <c r="G189" s="7">
        <f>(E189*D189)-F189</f>
        <v>6590.01</v>
      </c>
    </row>
    <row r="190" spans="1:7" ht="13.2" x14ac:dyDescent="0.25">
      <c r="A190" s="3">
        <v>189</v>
      </c>
      <c r="B190" s="3" t="s">
        <v>186</v>
      </c>
      <c r="C190" s="3">
        <v>9</v>
      </c>
      <c r="D190" s="3">
        <v>5</v>
      </c>
      <c r="E190" s="3">
        <v>2018</v>
      </c>
      <c r="F190" s="3">
        <v>2799.99</v>
      </c>
      <c r="G190" s="7">
        <f>(E190*D190)-F190</f>
        <v>7290.01</v>
      </c>
    </row>
    <row r="191" spans="1:7" ht="13.2" x14ac:dyDescent="0.25">
      <c r="A191" s="3">
        <v>190</v>
      </c>
      <c r="B191" s="3" t="s">
        <v>187</v>
      </c>
      <c r="C191" s="3">
        <v>9</v>
      </c>
      <c r="D191" s="3">
        <v>5</v>
      </c>
      <c r="E191" s="3">
        <v>2018</v>
      </c>
      <c r="F191" s="3">
        <v>2799.99</v>
      </c>
      <c r="G191" s="7">
        <f>(E191*D191)-F191</f>
        <v>7290.01</v>
      </c>
    </row>
    <row r="192" spans="1:7" ht="13.2" x14ac:dyDescent="0.25">
      <c r="A192" s="3">
        <v>191</v>
      </c>
      <c r="B192" s="3" t="s">
        <v>188</v>
      </c>
      <c r="C192" s="3">
        <v>1</v>
      </c>
      <c r="D192" s="3">
        <v>5</v>
      </c>
      <c r="E192" s="3">
        <v>2018</v>
      </c>
      <c r="F192" s="3">
        <v>2799.99</v>
      </c>
      <c r="G192" s="7">
        <f>(E192*D192)-F192</f>
        <v>7290.01</v>
      </c>
    </row>
    <row r="193" spans="1:7" ht="13.2" x14ac:dyDescent="0.25">
      <c r="A193" s="3">
        <v>192</v>
      </c>
      <c r="B193" s="3" t="s">
        <v>189</v>
      </c>
      <c r="C193" s="3">
        <v>1</v>
      </c>
      <c r="D193" s="3">
        <v>5</v>
      </c>
      <c r="E193" s="3">
        <v>2018</v>
      </c>
      <c r="F193" s="3">
        <v>2599.9899999999998</v>
      </c>
      <c r="G193" s="7">
        <f>(E193*D193)-F193</f>
        <v>7490.01</v>
      </c>
    </row>
    <row r="194" spans="1:7" ht="13.2" x14ac:dyDescent="0.25">
      <c r="A194" s="3">
        <v>193</v>
      </c>
      <c r="B194" s="3" t="s">
        <v>190</v>
      </c>
      <c r="C194" s="3">
        <v>9</v>
      </c>
      <c r="D194" s="3">
        <v>5</v>
      </c>
      <c r="E194" s="3">
        <v>2018</v>
      </c>
      <c r="F194" s="3">
        <v>2799.99</v>
      </c>
      <c r="G194" s="7">
        <f>(E194*D194)-F194</f>
        <v>7290.01</v>
      </c>
    </row>
    <row r="195" spans="1:7" ht="13.2" x14ac:dyDescent="0.25">
      <c r="A195" s="3">
        <v>194</v>
      </c>
      <c r="B195" s="3" t="s">
        <v>191</v>
      </c>
      <c r="C195" s="3">
        <v>9</v>
      </c>
      <c r="D195" s="3">
        <v>5</v>
      </c>
      <c r="E195" s="3">
        <v>2018</v>
      </c>
      <c r="F195" s="3">
        <v>3499.99</v>
      </c>
      <c r="G195" s="7">
        <f>(E195*D195)-F195</f>
        <v>6590.01</v>
      </c>
    </row>
    <row r="196" spans="1:7" ht="13.2" x14ac:dyDescent="0.25">
      <c r="A196" s="3">
        <v>195</v>
      </c>
      <c r="B196" s="3" t="s">
        <v>192</v>
      </c>
      <c r="C196" s="3">
        <v>1</v>
      </c>
      <c r="D196" s="3">
        <v>5</v>
      </c>
      <c r="E196" s="3">
        <v>2018</v>
      </c>
      <c r="F196" s="3">
        <v>2599.9899999999998</v>
      </c>
      <c r="G196" s="7">
        <f>(E196*D196)-F196</f>
        <v>7490.01</v>
      </c>
    </row>
    <row r="197" spans="1:7" ht="13.2" x14ac:dyDescent="0.25">
      <c r="A197" s="3">
        <v>196</v>
      </c>
      <c r="B197" s="3" t="s">
        <v>193</v>
      </c>
      <c r="C197" s="3">
        <v>9</v>
      </c>
      <c r="D197" s="3">
        <v>5</v>
      </c>
      <c r="E197" s="3">
        <v>2018</v>
      </c>
      <c r="F197" s="3">
        <v>2299.9899999999998</v>
      </c>
      <c r="G197" s="7">
        <f>(E197*D197)-F197</f>
        <v>7790.01</v>
      </c>
    </row>
    <row r="198" spans="1:7" ht="13.2" x14ac:dyDescent="0.25">
      <c r="A198" s="3">
        <v>197</v>
      </c>
      <c r="B198" s="3" t="s">
        <v>194</v>
      </c>
      <c r="C198" s="3">
        <v>9</v>
      </c>
      <c r="D198" s="3">
        <v>5</v>
      </c>
      <c r="E198" s="3">
        <v>2018</v>
      </c>
      <c r="F198" s="3">
        <v>2299.9899999999998</v>
      </c>
      <c r="G198" s="7">
        <f>(E198*D198)-F198</f>
        <v>7790.01</v>
      </c>
    </row>
    <row r="199" spans="1:7" ht="13.2" x14ac:dyDescent="0.25">
      <c r="A199" s="3">
        <v>198</v>
      </c>
      <c r="B199" s="3" t="s">
        <v>195</v>
      </c>
      <c r="C199" s="3">
        <v>1</v>
      </c>
      <c r="D199" s="3">
        <v>5</v>
      </c>
      <c r="E199" s="3">
        <v>2018</v>
      </c>
      <c r="F199" s="3">
        <v>2999.99</v>
      </c>
      <c r="G199" s="7">
        <f>(E199*D199)-F199</f>
        <v>7090.01</v>
      </c>
    </row>
    <row r="200" spans="1:7" ht="13.2" x14ac:dyDescent="0.25">
      <c r="A200" s="3">
        <v>199</v>
      </c>
      <c r="B200" s="3" t="s">
        <v>196</v>
      </c>
      <c r="C200" s="3">
        <v>1</v>
      </c>
      <c r="D200" s="3">
        <v>5</v>
      </c>
      <c r="E200" s="3">
        <v>2018</v>
      </c>
      <c r="F200" s="3">
        <v>2999.99</v>
      </c>
      <c r="G200" s="7">
        <f>(E200*D200)-F200</f>
        <v>7090.01</v>
      </c>
    </row>
    <row r="201" spans="1:7" ht="13.2" x14ac:dyDescent="0.25">
      <c r="A201" s="3">
        <v>200</v>
      </c>
      <c r="B201" s="3" t="s">
        <v>197</v>
      </c>
      <c r="C201" s="3">
        <v>9</v>
      </c>
      <c r="D201" s="3">
        <v>5</v>
      </c>
      <c r="E201" s="3">
        <v>2018</v>
      </c>
      <c r="F201" s="3">
        <v>3499.99</v>
      </c>
      <c r="G201" s="7">
        <f>(E201*D201)-F201</f>
        <v>6590.01</v>
      </c>
    </row>
    <row r="202" spans="1:7" ht="13.2" x14ac:dyDescent="0.25">
      <c r="A202" s="3">
        <v>201</v>
      </c>
      <c r="B202" s="3" t="s">
        <v>198</v>
      </c>
      <c r="C202" s="3">
        <v>9</v>
      </c>
      <c r="D202" s="3">
        <v>5</v>
      </c>
      <c r="E202" s="3">
        <v>2018</v>
      </c>
      <c r="F202" s="3">
        <v>4499.99</v>
      </c>
      <c r="G202" s="7">
        <f>(E202*D202)-F202</f>
        <v>5590.01</v>
      </c>
    </row>
    <row r="203" spans="1:7" ht="13.2" x14ac:dyDescent="0.25">
      <c r="A203" s="3">
        <v>202</v>
      </c>
      <c r="B203" s="3" t="s">
        <v>199</v>
      </c>
      <c r="C203" s="3">
        <v>9</v>
      </c>
      <c r="D203" s="3">
        <v>5</v>
      </c>
      <c r="E203" s="3">
        <v>2018</v>
      </c>
      <c r="F203" s="3">
        <v>3499.99</v>
      </c>
      <c r="G203" s="7">
        <f>(E203*D203)-F203</f>
        <v>6590.01</v>
      </c>
    </row>
    <row r="204" spans="1:7" ht="13.2" x14ac:dyDescent="0.25">
      <c r="A204" s="3">
        <v>203</v>
      </c>
      <c r="B204" s="3" t="s">
        <v>200</v>
      </c>
      <c r="C204" s="3">
        <v>9</v>
      </c>
      <c r="D204" s="3">
        <v>5</v>
      </c>
      <c r="E204" s="3">
        <v>2018</v>
      </c>
      <c r="F204" s="3">
        <v>4999.99</v>
      </c>
      <c r="G204" s="7">
        <f>(E204*D204)-F204</f>
        <v>5090.01</v>
      </c>
    </row>
    <row r="205" spans="1:7" ht="13.2" x14ac:dyDescent="0.25">
      <c r="A205" s="3">
        <v>204</v>
      </c>
      <c r="B205" s="3" t="s">
        <v>201</v>
      </c>
      <c r="C205" s="3">
        <v>9</v>
      </c>
      <c r="D205" s="3">
        <v>5</v>
      </c>
      <c r="E205" s="3">
        <v>2018</v>
      </c>
      <c r="F205" s="3">
        <v>3599.99</v>
      </c>
      <c r="G205" s="7">
        <f>(E205*D205)-F205</f>
        <v>6490.01</v>
      </c>
    </row>
    <row r="206" spans="1:7" ht="13.2" x14ac:dyDescent="0.25">
      <c r="A206" s="3">
        <v>205</v>
      </c>
      <c r="B206" s="3" t="s">
        <v>202</v>
      </c>
      <c r="C206" s="3">
        <v>9</v>
      </c>
      <c r="D206" s="3">
        <v>5</v>
      </c>
      <c r="E206" s="3">
        <v>2018</v>
      </c>
      <c r="F206" s="3">
        <v>4999.99</v>
      </c>
      <c r="G206" s="7">
        <f>(E206*D206)-F206</f>
        <v>5090.01</v>
      </c>
    </row>
    <row r="207" spans="1:7" ht="13.2" x14ac:dyDescent="0.25">
      <c r="A207" s="3">
        <v>206</v>
      </c>
      <c r="B207" s="3" t="s">
        <v>203</v>
      </c>
      <c r="C207" s="3">
        <v>9</v>
      </c>
      <c r="D207" s="3">
        <v>4</v>
      </c>
      <c r="E207" s="3">
        <v>2018</v>
      </c>
      <c r="F207" s="3">
        <v>3299.99</v>
      </c>
      <c r="G207" s="7">
        <f>(E207*D207)-F207</f>
        <v>4772.01</v>
      </c>
    </row>
    <row r="208" spans="1:7" ht="13.2" x14ac:dyDescent="0.25">
      <c r="A208" s="3">
        <v>207</v>
      </c>
      <c r="B208" s="3" t="s">
        <v>204</v>
      </c>
      <c r="C208" s="3">
        <v>9</v>
      </c>
      <c r="D208" s="3">
        <v>4</v>
      </c>
      <c r="E208" s="3">
        <v>2018</v>
      </c>
      <c r="F208" s="3">
        <v>3999.99</v>
      </c>
      <c r="G208" s="7">
        <f>(E208*D208)-F208</f>
        <v>4072.01</v>
      </c>
    </row>
    <row r="209" spans="1:7" ht="13.2" x14ac:dyDescent="0.25">
      <c r="A209" s="3">
        <v>208</v>
      </c>
      <c r="B209" s="3" t="s">
        <v>205</v>
      </c>
      <c r="C209" s="3">
        <v>9</v>
      </c>
      <c r="D209" s="3">
        <v>4</v>
      </c>
      <c r="E209" s="3">
        <v>2018</v>
      </c>
      <c r="F209" s="3">
        <v>1799.99</v>
      </c>
      <c r="G209" s="7">
        <f>(E209*D209)-F209</f>
        <v>6272.01</v>
      </c>
    </row>
    <row r="210" spans="1:7" ht="13.2" x14ac:dyDescent="0.25">
      <c r="A210" s="3">
        <v>209</v>
      </c>
      <c r="B210" s="3" t="s">
        <v>206</v>
      </c>
      <c r="C210" s="3">
        <v>9</v>
      </c>
      <c r="D210" s="3">
        <v>4</v>
      </c>
      <c r="E210" s="3">
        <v>2018</v>
      </c>
      <c r="F210" s="3">
        <v>2999.99</v>
      </c>
      <c r="G210" s="7">
        <f>(E210*D210)-F210</f>
        <v>5072.01</v>
      </c>
    </row>
    <row r="211" spans="1:7" ht="13.2" x14ac:dyDescent="0.25">
      <c r="A211" s="3">
        <v>210</v>
      </c>
      <c r="B211" s="3" t="s">
        <v>165</v>
      </c>
      <c r="C211" s="3">
        <v>8</v>
      </c>
      <c r="D211" s="3">
        <v>4</v>
      </c>
      <c r="E211" s="3">
        <v>2018</v>
      </c>
      <c r="F211" s="3">
        <v>1549</v>
      </c>
      <c r="G211" s="7">
        <f>(E211*D211)-F211</f>
        <v>6523</v>
      </c>
    </row>
    <row r="212" spans="1:7" ht="13.2" x14ac:dyDescent="0.25">
      <c r="A212" s="3">
        <v>211</v>
      </c>
      <c r="B212" s="3" t="s">
        <v>161</v>
      </c>
      <c r="C212" s="3">
        <v>8</v>
      </c>
      <c r="D212" s="3">
        <v>4</v>
      </c>
      <c r="E212" s="3">
        <v>2018</v>
      </c>
      <c r="F212" s="3">
        <v>1549</v>
      </c>
      <c r="G212" s="7">
        <f>(E212*D212)-F212</f>
        <v>6523</v>
      </c>
    </row>
    <row r="213" spans="1:7" ht="13.2" x14ac:dyDescent="0.25">
      <c r="A213" s="3">
        <v>212</v>
      </c>
      <c r="B213" s="3" t="s">
        <v>207</v>
      </c>
      <c r="C213" s="3">
        <v>1</v>
      </c>
      <c r="D213" s="3">
        <v>3</v>
      </c>
      <c r="E213" s="3">
        <v>2018</v>
      </c>
      <c r="F213" s="3">
        <v>559.99</v>
      </c>
      <c r="G213" s="7">
        <f>(E213*D213)-F213</f>
        <v>5494.01</v>
      </c>
    </row>
    <row r="214" spans="1:7" ht="13.2" x14ac:dyDescent="0.25">
      <c r="A214" s="3">
        <v>213</v>
      </c>
      <c r="B214" s="3" t="s">
        <v>208</v>
      </c>
      <c r="C214" s="3">
        <v>1</v>
      </c>
      <c r="D214" s="3">
        <v>3</v>
      </c>
      <c r="E214" s="3">
        <v>2018</v>
      </c>
      <c r="F214" s="3">
        <v>269.99</v>
      </c>
      <c r="G214" s="7">
        <f>(E214*D214)-F214</f>
        <v>5784.01</v>
      </c>
    </row>
    <row r="215" spans="1:7" ht="13.2" x14ac:dyDescent="0.25">
      <c r="A215" s="3">
        <v>214</v>
      </c>
      <c r="B215" s="3" t="s">
        <v>209</v>
      </c>
      <c r="C215" s="3">
        <v>1</v>
      </c>
      <c r="D215" s="3">
        <v>3</v>
      </c>
      <c r="E215" s="3">
        <v>2018</v>
      </c>
      <c r="F215" s="3">
        <v>899.99</v>
      </c>
      <c r="G215" s="7">
        <f>(E215*D215)-F215</f>
        <v>5154.01</v>
      </c>
    </row>
    <row r="216" spans="1:7" ht="13.2" x14ac:dyDescent="0.25">
      <c r="A216" s="3">
        <v>215</v>
      </c>
      <c r="B216" s="3" t="s">
        <v>210</v>
      </c>
      <c r="C216" s="3">
        <v>1</v>
      </c>
      <c r="D216" s="3">
        <v>3</v>
      </c>
      <c r="E216" s="3">
        <v>2018</v>
      </c>
      <c r="F216" s="3">
        <v>749.99</v>
      </c>
      <c r="G216" s="7">
        <f>(E216*D216)-F216</f>
        <v>5304.01</v>
      </c>
    </row>
    <row r="217" spans="1:7" ht="13.2" x14ac:dyDescent="0.25">
      <c r="A217" s="3">
        <v>216</v>
      </c>
      <c r="B217" s="3" t="s">
        <v>211</v>
      </c>
      <c r="C217" s="3">
        <v>1</v>
      </c>
      <c r="D217" s="3">
        <v>3</v>
      </c>
      <c r="E217" s="3">
        <v>2018</v>
      </c>
      <c r="F217" s="3">
        <v>899.99</v>
      </c>
      <c r="G217" s="7">
        <f>(E217*D217)-F217</f>
        <v>5154.01</v>
      </c>
    </row>
    <row r="218" spans="1:7" ht="13.2" x14ac:dyDescent="0.25">
      <c r="A218" s="3">
        <v>217</v>
      </c>
      <c r="B218" s="3" t="s">
        <v>212</v>
      </c>
      <c r="C218" s="3">
        <v>1</v>
      </c>
      <c r="D218" s="3">
        <v>3</v>
      </c>
      <c r="E218" s="3">
        <v>2018</v>
      </c>
      <c r="F218" s="3">
        <v>909.99</v>
      </c>
      <c r="G218" s="7">
        <f>(E218*D218)-F218</f>
        <v>5144.01</v>
      </c>
    </row>
    <row r="219" spans="1:7" ht="13.2" x14ac:dyDescent="0.25">
      <c r="A219" s="3">
        <v>218</v>
      </c>
      <c r="B219" s="3" t="s">
        <v>213</v>
      </c>
      <c r="C219" s="3">
        <v>1</v>
      </c>
      <c r="D219" s="3">
        <v>3</v>
      </c>
      <c r="E219" s="3">
        <v>2018</v>
      </c>
      <c r="F219" s="3">
        <v>319.99</v>
      </c>
      <c r="G219" s="7">
        <f>(E219*D219)-F219</f>
        <v>5734.01</v>
      </c>
    </row>
    <row r="220" spans="1:7" ht="13.2" x14ac:dyDescent="0.25">
      <c r="A220" s="3">
        <v>219</v>
      </c>
      <c r="B220" s="3" t="s">
        <v>214</v>
      </c>
      <c r="C220" s="3">
        <v>1</v>
      </c>
      <c r="D220" s="3">
        <v>3</v>
      </c>
      <c r="E220" s="3">
        <v>2018</v>
      </c>
      <c r="F220" s="3">
        <v>639.99</v>
      </c>
      <c r="G220" s="7">
        <f>(E220*D220)-F220</f>
        <v>5414.01</v>
      </c>
    </row>
    <row r="221" spans="1:7" ht="13.2" x14ac:dyDescent="0.25">
      <c r="A221" s="3">
        <v>220</v>
      </c>
      <c r="B221" s="3" t="s">
        <v>215</v>
      </c>
      <c r="C221" s="3">
        <v>1</v>
      </c>
      <c r="D221" s="3">
        <v>3</v>
      </c>
      <c r="E221" s="3">
        <v>2018</v>
      </c>
      <c r="F221" s="3">
        <v>269.99</v>
      </c>
      <c r="G221" s="7">
        <f>(E221*D221)-F221</f>
        <v>5784.01</v>
      </c>
    </row>
    <row r="222" spans="1:7" ht="13.2" x14ac:dyDescent="0.25">
      <c r="A222" s="3">
        <v>221</v>
      </c>
      <c r="B222" s="3" t="s">
        <v>216</v>
      </c>
      <c r="C222" s="3">
        <v>1</v>
      </c>
      <c r="D222" s="3">
        <v>3</v>
      </c>
      <c r="E222" s="3">
        <v>2018</v>
      </c>
      <c r="F222" s="3">
        <v>319.99</v>
      </c>
      <c r="G222" s="7">
        <f>(E222*D222)-F222</f>
        <v>5734.01</v>
      </c>
    </row>
    <row r="223" spans="1:7" ht="13.2" x14ac:dyDescent="0.25">
      <c r="A223" s="3">
        <v>222</v>
      </c>
      <c r="B223" s="3" t="s">
        <v>217</v>
      </c>
      <c r="C223" s="3">
        <v>1</v>
      </c>
      <c r="D223" s="3">
        <v>3</v>
      </c>
      <c r="E223" s="3">
        <v>2018</v>
      </c>
      <c r="F223" s="3">
        <v>269.99</v>
      </c>
      <c r="G223" s="7">
        <f>(E223*D223)-F223</f>
        <v>5784.01</v>
      </c>
    </row>
    <row r="224" spans="1:7" ht="13.2" x14ac:dyDescent="0.25">
      <c r="A224" s="3">
        <v>223</v>
      </c>
      <c r="B224" s="3" t="s">
        <v>218</v>
      </c>
      <c r="C224" s="3">
        <v>1</v>
      </c>
      <c r="D224" s="3">
        <v>3</v>
      </c>
      <c r="E224" s="3">
        <v>2018</v>
      </c>
      <c r="F224" s="3">
        <v>529.99</v>
      </c>
      <c r="G224" s="7">
        <f>(E224*D224)-F224</f>
        <v>5524.01</v>
      </c>
    </row>
    <row r="225" spans="1:7" ht="13.2" x14ac:dyDescent="0.25">
      <c r="A225" s="3">
        <v>224</v>
      </c>
      <c r="B225" s="3" t="s">
        <v>219</v>
      </c>
      <c r="C225" s="3">
        <v>1</v>
      </c>
      <c r="D225" s="3">
        <v>3</v>
      </c>
      <c r="E225" s="3">
        <v>2018</v>
      </c>
      <c r="F225" s="3">
        <v>479.99</v>
      </c>
      <c r="G225" s="7">
        <f>(E225*D225)-F225</f>
        <v>5574.01</v>
      </c>
    </row>
    <row r="226" spans="1:7" ht="13.2" x14ac:dyDescent="0.25">
      <c r="A226" s="3">
        <v>225</v>
      </c>
      <c r="B226" s="3" t="s">
        <v>220</v>
      </c>
      <c r="C226" s="3">
        <v>1</v>
      </c>
      <c r="D226" s="3">
        <v>3</v>
      </c>
      <c r="E226" s="3">
        <v>2018</v>
      </c>
      <c r="F226" s="3">
        <v>959.99</v>
      </c>
      <c r="G226" s="7">
        <f>(E226*D226)-F226</f>
        <v>5094.01</v>
      </c>
    </row>
    <row r="227" spans="1:7" ht="13.2" x14ac:dyDescent="0.25">
      <c r="A227" s="3">
        <v>226</v>
      </c>
      <c r="B227" s="3" t="s">
        <v>221</v>
      </c>
      <c r="C227" s="3">
        <v>1</v>
      </c>
      <c r="D227" s="3">
        <v>3</v>
      </c>
      <c r="E227" s="3">
        <v>2018</v>
      </c>
      <c r="F227" s="3">
        <v>679.99</v>
      </c>
      <c r="G227" s="7">
        <f>(E227*D227)-F227</f>
        <v>5374.01</v>
      </c>
    </row>
    <row r="228" spans="1:7" ht="13.2" x14ac:dyDescent="0.25">
      <c r="A228" s="3">
        <v>227</v>
      </c>
      <c r="B228" s="3" t="s">
        <v>222</v>
      </c>
      <c r="C228" s="3">
        <v>1</v>
      </c>
      <c r="D228" s="3">
        <v>3</v>
      </c>
      <c r="E228" s="3">
        <v>2018</v>
      </c>
      <c r="F228" s="3">
        <v>319.99</v>
      </c>
      <c r="G228" s="7">
        <f>(E228*D228)-F228</f>
        <v>5734.01</v>
      </c>
    </row>
    <row r="229" spans="1:7" ht="13.2" x14ac:dyDescent="0.25">
      <c r="A229" s="3">
        <v>228</v>
      </c>
      <c r="B229" s="3" t="s">
        <v>223</v>
      </c>
      <c r="C229" s="3">
        <v>1</v>
      </c>
      <c r="D229" s="3">
        <v>3</v>
      </c>
      <c r="E229" s="3">
        <v>2018</v>
      </c>
      <c r="F229" s="3">
        <v>319.99</v>
      </c>
      <c r="G229" s="7">
        <f>(E229*D229)-F229</f>
        <v>5734.01</v>
      </c>
    </row>
    <row r="230" spans="1:7" ht="13.2" x14ac:dyDescent="0.25">
      <c r="A230" s="3">
        <v>229</v>
      </c>
      <c r="B230" s="3" t="s">
        <v>224</v>
      </c>
      <c r="C230" s="3">
        <v>1</v>
      </c>
      <c r="D230" s="3">
        <v>3</v>
      </c>
      <c r="E230" s="3">
        <v>2018</v>
      </c>
      <c r="F230" s="3">
        <v>429.99</v>
      </c>
      <c r="G230" s="7">
        <f>(E230*D230)-F230</f>
        <v>5624.01</v>
      </c>
    </row>
    <row r="231" spans="1:7" ht="13.2" x14ac:dyDescent="0.25">
      <c r="A231" s="3">
        <v>230</v>
      </c>
      <c r="B231" s="3" t="s">
        <v>225</v>
      </c>
      <c r="C231" s="3">
        <v>1</v>
      </c>
      <c r="D231" s="3">
        <v>3</v>
      </c>
      <c r="E231" s="3">
        <v>2018</v>
      </c>
      <c r="F231" s="3">
        <v>429.99</v>
      </c>
      <c r="G231" s="7">
        <f>(E231*D231)-F231</f>
        <v>5624.01</v>
      </c>
    </row>
    <row r="232" spans="1:7" ht="13.2" x14ac:dyDescent="0.25">
      <c r="A232" s="3">
        <v>231</v>
      </c>
      <c r="B232" s="3" t="s">
        <v>226</v>
      </c>
      <c r="C232" s="3">
        <v>1</v>
      </c>
      <c r="D232" s="3">
        <v>3</v>
      </c>
      <c r="E232" s="3">
        <v>2018</v>
      </c>
      <c r="F232" s="3">
        <v>529.99</v>
      </c>
      <c r="G232" s="7">
        <f>(E232*D232)-F232</f>
        <v>5524.01</v>
      </c>
    </row>
    <row r="233" spans="1:7" ht="13.2" x14ac:dyDescent="0.25">
      <c r="A233" s="3">
        <v>232</v>
      </c>
      <c r="B233" s="3" t="s">
        <v>227</v>
      </c>
      <c r="C233" s="3">
        <v>1</v>
      </c>
      <c r="D233" s="3">
        <v>3</v>
      </c>
      <c r="E233" s="3">
        <v>2018</v>
      </c>
      <c r="F233" s="3">
        <v>479.99</v>
      </c>
      <c r="G233" s="7">
        <f>(E233*D233)-F233</f>
        <v>5574.01</v>
      </c>
    </row>
    <row r="234" spans="1:7" ht="13.2" x14ac:dyDescent="0.25">
      <c r="A234" s="3">
        <v>233</v>
      </c>
      <c r="B234" s="3" t="s">
        <v>228</v>
      </c>
      <c r="C234" s="3">
        <v>1</v>
      </c>
      <c r="D234" s="3">
        <v>3</v>
      </c>
      <c r="E234" s="3">
        <v>2018</v>
      </c>
      <c r="F234" s="3">
        <v>639.99</v>
      </c>
      <c r="G234" s="7">
        <f>(E234*D234)-F234</f>
        <v>5414.01</v>
      </c>
    </row>
    <row r="235" spans="1:7" ht="13.2" x14ac:dyDescent="0.25">
      <c r="A235" s="3">
        <v>234</v>
      </c>
      <c r="B235" s="3" t="s">
        <v>229</v>
      </c>
      <c r="C235" s="3">
        <v>1</v>
      </c>
      <c r="D235" s="3">
        <v>3</v>
      </c>
      <c r="E235" s="3">
        <v>2018</v>
      </c>
      <c r="F235" s="3">
        <v>899.99</v>
      </c>
      <c r="G235" s="7">
        <f>(E235*D235)-F235</f>
        <v>5154.01</v>
      </c>
    </row>
    <row r="236" spans="1:7" ht="13.2" x14ac:dyDescent="0.25">
      <c r="A236" s="3">
        <v>235</v>
      </c>
      <c r="B236" s="3" t="s">
        <v>230</v>
      </c>
      <c r="C236" s="3">
        <v>1</v>
      </c>
      <c r="D236" s="3">
        <v>3</v>
      </c>
      <c r="E236" s="3">
        <v>2018</v>
      </c>
      <c r="F236" s="3">
        <v>899.99</v>
      </c>
      <c r="G236" s="7">
        <f>(E236*D236)-F236</f>
        <v>5154.01</v>
      </c>
    </row>
    <row r="237" spans="1:7" ht="13.2" x14ac:dyDescent="0.25">
      <c r="A237" s="3">
        <v>236</v>
      </c>
      <c r="B237" s="3" t="s">
        <v>231</v>
      </c>
      <c r="C237" s="3">
        <v>1</v>
      </c>
      <c r="D237" s="3">
        <v>3</v>
      </c>
      <c r="E237" s="3">
        <v>2018</v>
      </c>
      <c r="F237" s="3">
        <v>749.99</v>
      </c>
      <c r="G237" s="7">
        <f>(E237*D237)-F237</f>
        <v>5304.01</v>
      </c>
    </row>
    <row r="238" spans="1:7" ht="13.2" x14ac:dyDescent="0.25">
      <c r="A238" s="3">
        <v>237</v>
      </c>
      <c r="B238" s="3" t="s">
        <v>232</v>
      </c>
      <c r="C238" s="3">
        <v>1</v>
      </c>
      <c r="D238" s="3">
        <v>3</v>
      </c>
      <c r="E238" s="3">
        <v>2018</v>
      </c>
      <c r="F238" s="3">
        <v>849.99</v>
      </c>
      <c r="G238" s="7">
        <f>(E238*D238)-F238</f>
        <v>5204.01</v>
      </c>
    </row>
    <row r="239" spans="1:7" ht="13.2" x14ac:dyDescent="0.25">
      <c r="A239" s="3">
        <v>238</v>
      </c>
      <c r="B239" s="3" t="s">
        <v>233</v>
      </c>
      <c r="C239" s="3">
        <v>1</v>
      </c>
      <c r="D239" s="3">
        <v>3</v>
      </c>
      <c r="E239" s="3">
        <v>2018</v>
      </c>
      <c r="F239" s="3">
        <v>749.99</v>
      </c>
      <c r="G239" s="7">
        <f>(E239*D239)-F239</f>
        <v>5304.01</v>
      </c>
    </row>
    <row r="240" spans="1:7" ht="13.2" x14ac:dyDescent="0.25">
      <c r="A240" s="3">
        <v>239</v>
      </c>
      <c r="B240" s="3" t="s">
        <v>234</v>
      </c>
      <c r="C240" s="3">
        <v>1</v>
      </c>
      <c r="D240" s="3">
        <v>3</v>
      </c>
      <c r="E240" s="3">
        <v>2018</v>
      </c>
      <c r="F240" s="3">
        <v>749.99</v>
      </c>
      <c r="G240" s="7">
        <f>(E240*D240)-F240</f>
        <v>5304.01</v>
      </c>
    </row>
    <row r="241" spans="1:7" ht="13.2" x14ac:dyDescent="0.25">
      <c r="A241" s="3">
        <v>240</v>
      </c>
      <c r="B241" s="3" t="s">
        <v>235</v>
      </c>
      <c r="C241" s="3">
        <v>1</v>
      </c>
      <c r="D241" s="3">
        <v>3</v>
      </c>
      <c r="E241" s="3">
        <v>2018</v>
      </c>
      <c r="F241" s="3">
        <v>899.99</v>
      </c>
      <c r="G241" s="7">
        <f>(E241*D241)-F241</f>
        <v>5154.01</v>
      </c>
    </row>
    <row r="242" spans="1:7" ht="13.2" x14ac:dyDescent="0.25">
      <c r="A242" s="3">
        <v>241</v>
      </c>
      <c r="B242" s="3" t="s">
        <v>236</v>
      </c>
      <c r="C242" s="3">
        <v>1</v>
      </c>
      <c r="D242" s="3">
        <v>3</v>
      </c>
      <c r="E242" s="3">
        <v>2018</v>
      </c>
      <c r="F242" s="3">
        <v>749.99</v>
      </c>
      <c r="G242" s="7">
        <f>(E242*D242)-F242</f>
        <v>5304.01</v>
      </c>
    </row>
    <row r="243" spans="1:7" ht="13.2" x14ac:dyDescent="0.25">
      <c r="A243" s="3">
        <v>242</v>
      </c>
      <c r="B243" s="3" t="s">
        <v>237</v>
      </c>
      <c r="C243" s="3">
        <v>1</v>
      </c>
      <c r="D243" s="3">
        <v>3</v>
      </c>
      <c r="E243" s="3">
        <v>2018</v>
      </c>
      <c r="F243" s="3">
        <v>699.99</v>
      </c>
      <c r="G243" s="7">
        <f>(E243*D243)-F243</f>
        <v>5354.01</v>
      </c>
    </row>
    <row r="244" spans="1:7" ht="13.2" x14ac:dyDescent="0.25">
      <c r="A244" s="3">
        <v>243</v>
      </c>
      <c r="B244" s="3" t="s">
        <v>238</v>
      </c>
      <c r="C244" s="3">
        <v>1</v>
      </c>
      <c r="D244" s="3">
        <v>3</v>
      </c>
      <c r="E244" s="3">
        <v>2018</v>
      </c>
      <c r="F244" s="3">
        <v>679.99</v>
      </c>
      <c r="G244" s="7">
        <f>(E244*D244)-F244</f>
        <v>5374.01</v>
      </c>
    </row>
    <row r="245" spans="1:7" ht="13.2" x14ac:dyDescent="0.25">
      <c r="A245" s="3">
        <v>244</v>
      </c>
      <c r="B245" s="3" t="s">
        <v>239</v>
      </c>
      <c r="C245" s="3">
        <v>1</v>
      </c>
      <c r="D245" s="3">
        <v>3</v>
      </c>
      <c r="E245" s="3">
        <v>2018</v>
      </c>
      <c r="F245" s="3">
        <v>559.99</v>
      </c>
      <c r="G245" s="7">
        <f>(E245*D245)-F245</f>
        <v>5494.01</v>
      </c>
    </row>
    <row r="246" spans="1:7" ht="13.2" x14ac:dyDescent="0.25">
      <c r="A246" s="3">
        <v>245</v>
      </c>
      <c r="B246" s="3" t="s">
        <v>240</v>
      </c>
      <c r="C246" s="3">
        <v>1</v>
      </c>
      <c r="D246" s="3">
        <v>3</v>
      </c>
      <c r="E246" s="3">
        <v>2018</v>
      </c>
      <c r="F246" s="3">
        <v>659.99</v>
      </c>
      <c r="G246" s="7">
        <f>(E246*D246)-F246</f>
        <v>5394.01</v>
      </c>
    </row>
    <row r="247" spans="1:7" ht="13.2" x14ac:dyDescent="0.25">
      <c r="A247" s="3">
        <v>246</v>
      </c>
      <c r="B247" s="3" t="s">
        <v>241</v>
      </c>
      <c r="C247" s="3">
        <v>1</v>
      </c>
      <c r="D247" s="3">
        <v>3</v>
      </c>
      <c r="E247" s="3">
        <v>2018</v>
      </c>
      <c r="F247" s="3">
        <v>639.99</v>
      </c>
      <c r="G247" s="7">
        <f>(E247*D247)-F247</f>
        <v>5414.01</v>
      </c>
    </row>
    <row r="248" spans="1:7" ht="13.2" x14ac:dyDescent="0.25">
      <c r="A248" s="3">
        <v>247</v>
      </c>
      <c r="B248" s="3" t="s">
        <v>242</v>
      </c>
      <c r="C248" s="3">
        <v>1</v>
      </c>
      <c r="D248" s="3">
        <v>3</v>
      </c>
      <c r="E248" s="3">
        <v>2018</v>
      </c>
      <c r="F248" s="3">
        <v>599.99</v>
      </c>
      <c r="G248" s="7">
        <f>(E248*D248)-F248</f>
        <v>5454.01</v>
      </c>
    </row>
    <row r="249" spans="1:7" ht="13.2" x14ac:dyDescent="0.25">
      <c r="A249" s="3">
        <v>248</v>
      </c>
      <c r="B249" s="3" t="s">
        <v>243</v>
      </c>
      <c r="C249" s="3">
        <v>1</v>
      </c>
      <c r="D249" s="3">
        <v>3</v>
      </c>
      <c r="E249" s="3">
        <v>2018</v>
      </c>
      <c r="F249" s="3">
        <v>599.99</v>
      </c>
      <c r="G249" s="7">
        <f>(E249*D249)-F249</f>
        <v>5454.01</v>
      </c>
    </row>
    <row r="250" spans="1:7" ht="13.2" x14ac:dyDescent="0.25">
      <c r="A250" s="3">
        <v>249</v>
      </c>
      <c r="B250" s="3" t="s">
        <v>244</v>
      </c>
      <c r="C250" s="3">
        <v>1</v>
      </c>
      <c r="D250" s="3">
        <v>3</v>
      </c>
      <c r="E250" s="3">
        <v>2018</v>
      </c>
      <c r="F250" s="3">
        <v>749.99</v>
      </c>
      <c r="G250" s="7">
        <f>(E250*D250)-F250</f>
        <v>5304.01</v>
      </c>
    </row>
    <row r="251" spans="1:7" ht="13.2" x14ac:dyDescent="0.25">
      <c r="A251" s="3">
        <v>250</v>
      </c>
      <c r="B251" s="3" t="s">
        <v>189</v>
      </c>
      <c r="C251" s="3">
        <v>1</v>
      </c>
      <c r="D251" s="3">
        <v>3</v>
      </c>
      <c r="E251" s="3">
        <v>2018</v>
      </c>
      <c r="F251" s="3">
        <v>2599.9899999999998</v>
      </c>
      <c r="G251" s="7">
        <f>(E251*D251)-F251</f>
        <v>3454.01</v>
      </c>
    </row>
    <row r="252" spans="1:7" ht="13.2" x14ac:dyDescent="0.25">
      <c r="A252" s="3">
        <v>251</v>
      </c>
      <c r="B252" s="3" t="s">
        <v>195</v>
      </c>
      <c r="C252" s="3">
        <v>1</v>
      </c>
      <c r="D252" s="3">
        <v>3</v>
      </c>
      <c r="E252" s="3">
        <v>2018</v>
      </c>
      <c r="F252" s="3">
        <v>2999.99</v>
      </c>
      <c r="G252" s="7">
        <f>(E252*D252)-F252</f>
        <v>3054.01</v>
      </c>
    </row>
    <row r="253" spans="1:7" ht="13.2" x14ac:dyDescent="0.25">
      <c r="A253" s="3">
        <v>252</v>
      </c>
      <c r="B253" s="3" t="s">
        <v>196</v>
      </c>
      <c r="C253" s="3">
        <v>1</v>
      </c>
      <c r="D253" s="3">
        <v>3</v>
      </c>
      <c r="E253" s="3">
        <v>2018</v>
      </c>
      <c r="F253" s="3">
        <v>2999.99</v>
      </c>
      <c r="G253" s="7">
        <f>(E253*D253)-F253</f>
        <v>3054.01</v>
      </c>
    </row>
    <row r="254" spans="1:7" ht="13.2" x14ac:dyDescent="0.25">
      <c r="A254" s="3">
        <v>253</v>
      </c>
      <c r="B254" s="3" t="s">
        <v>192</v>
      </c>
      <c r="C254" s="3">
        <v>1</v>
      </c>
      <c r="D254" s="3">
        <v>3</v>
      </c>
      <c r="E254" s="3">
        <v>2018</v>
      </c>
      <c r="F254" s="3">
        <v>2599.9899999999998</v>
      </c>
      <c r="G254" s="7">
        <f>(E254*D254)-F254</f>
        <v>3454.01</v>
      </c>
    </row>
    <row r="255" spans="1:7" ht="13.2" x14ac:dyDescent="0.25">
      <c r="A255" s="3">
        <v>254</v>
      </c>
      <c r="B255" s="3" t="s">
        <v>245</v>
      </c>
      <c r="C255" s="3">
        <v>1</v>
      </c>
      <c r="D255" s="3">
        <v>3</v>
      </c>
      <c r="E255" s="3">
        <v>2018</v>
      </c>
      <c r="F255" s="3">
        <v>749.99</v>
      </c>
      <c r="G255" s="7">
        <f>(E255*D255)-F255</f>
        <v>5304.01</v>
      </c>
    </row>
    <row r="256" spans="1:7" ht="13.2" x14ac:dyDescent="0.25">
      <c r="A256" s="3">
        <v>255</v>
      </c>
      <c r="B256" s="3" t="s">
        <v>246</v>
      </c>
      <c r="C256" s="3">
        <v>1</v>
      </c>
      <c r="D256" s="3">
        <v>3</v>
      </c>
      <c r="E256" s="3">
        <v>2018</v>
      </c>
      <c r="F256" s="3">
        <v>899.99</v>
      </c>
      <c r="G256" s="7">
        <f>(E256*D256)-F256</f>
        <v>5154.01</v>
      </c>
    </row>
    <row r="257" spans="1:7" ht="13.2" x14ac:dyDescent="0.25">
      <c r="A257" s="3">
        <v>256</v>
      </c>
      <c r="B257" s="3" t="s">
        <v>247</v>
      </c>
      <c r="C257" s="3">
        <v>1</v>
      </c>
      <c r="D257" s="3">
        <v>3</v>
      </c>
      <c r="E257" s="3">
        <v>2018</v>
      </c>
      <c r="F257" s="3">
        <v>899.99</v>
      </c>
      <c r="G257" s="7">
        <f>(E257*D257)-F257</f>
        <v>5154.01</v>
      </c>
    </row>
    <row r="258" spans="1:7" ht="13.2" x14ac:dyDescent="0.25">
      <c r="A258" s="3">
        <v>257</v>
      </c>
      <c r="B258" s="3" t="s">
        <v>248</v>
      </c>
      <c r="C258" s="3">
        <v>1</v>
      </c>
      <c r="D258" s="3">
        <v>3</v>
      </c>
      <c r="E258" s="3">
        <v>2018</v>
      </c>
      <c r="F258" s="3">
        <v>899.99</v>
      </c>
      <c r="G258" s="7">
        <f>(E258*D258)-F258</f>
        <v>5154.01</v>
      </c>
    </row>
    <row r="259" spans="1:7" ht="13.2" x14ac:dyDescent="0.25">
      <c r="A259" s="3">
        <v>258</v>
      </c>
      <c r="B259" s="3" t="s">
        <v>249</v>
      </c>
      <c r="C259" s="3">
        <v>1</v>
      </c>
      <c r="D259" s="3">
        <v>3</v>
      </c>
      <c r="E259" s="3">
        <v>2018</v>
      </c>
      <c r="F259" s="3">
        <v>1259.9000000000001</v>
      </c>
      <c r="G259" s="7">
        <f>(E259*D259)-F259</f>
        <v>4794.1000000000004</v>
      </c>
    </row>
    <row r="260" spans="1:7" ht="13.2" x14ac:dyDescent="0.25">
      <c r="A260" s="3">
        <v>259</v>
      </c>
      <c r="B260" s="3" t="s">
        <v>250</v>
      </c>
      <c r="C260" s="3">
        <v>1</v>
      </c>
      <c r="D260" s="3">
        <v>3</v>
      </c>
      <c r="E260" s="3">
        <v>2018</v>
      </c>
      <c r="F260" s="3">
        <v>1199.99</v>
      </c>
      <c r="G260" s="7">
        <f>(E260*D260)-F260</f>
        <v>4854.01</v>
      </c>
    </row>
    <row r="261" spans="1:7" ht="13.2" x14ac:dyDescent="0.25">
      <c r="A261" s="3">
        <v>260</v>
      </c>
      <c r="B261" s="3" t="s">
        <v>251</v>
      </c>
      <c r="C261" s="3">
        <v>1</v>
      </c>
      <c r="D261" s="3">
        <v>3</v>
      </c>
      <c r="E261" s="3">
        <v>2018</v>
      </c>
      <c r="F261" s="3">
        <v>799.99</v>
      </c>
      <c r="G261" s="7">
        <f>(E261*D261)-F261</f>
        <v>5254.01</v>
      </c>
    </row>
    <row r="262" spans="1:7" ht="13.2" x14ac:dyDescent="0.25">
      <c r="A262" s="3">
        <v>261</v>
      </c>
      <c r="B262" s="3" t="s">
        <v>252</v>
      </c>
      <c r="C262" s="3">
        <v>1</v>
      </c>
      <c r="D262" s="3">
        <v>3</v>
      </c>
      <c r="E262" s="3">
        <v>2018</v>
      </c>
      <c r="F262" s="3">
        <v>899.99</v>
      </c>
      <c r="G262" s="7">
        <f>(E262*D262)-F262</f>
        <v>5154.01</v>
      </c>
    </row>
    <row r="263" spans="1:7" ht="13.2" x14ac:dyDescent="0.25">
      <c r="A263" s="3">
        <v>262</v>
      </c>
      <c r="B263" s="3" t="s">
        <v>253</v>
      </c>
      <c r="C263" s="3">
        <v>9</v>
      </c>
      <c r="D263" s="3">
        <v>1</v>
      </c>
      <c r="E263" s="3">
        <v>2018</v>
      </c>
      <c r="F263" s="3">
        <v>249.99</v>
      </c>
      <c r="G263" s="7">
        <f>(E263*D263)-F263</f>
        <v>1768.01</v>
      </c>
    </row>
    <row r="264" spans="1:7" ht="13.2" x14ac:dyDescent="0.25">
      <c r="A264" s="3">
        <v>263</v>
      </c>
      <c r="B264" s="3" t="s">
        <v>254</v>
      </c>
      <c r="C264" s="3">
        <v>6</v>
      </c>
      <c r="D264" s="3">
        <v>1</v>
      </c>
      <c r="E264" s="3">
        <v>2018</v>
      </c>
      <c r="F264" s="3">
        <v>89.99</v>
      </c>
      <c r="G264" s="7">
        <f>(E264*D264)-F264</f>
        <v>1928.01</v>
      </c>
    </row>
    <row r="265" spans="1:7" ht="13.2" x14ac:dyDescent="0.25">
      <c r="A265" s="3">
        <v>264</v>
      </c>
      <c r="B265" s="3" t="s">
        <v>255</v>
      </c>
      <c r="C265" s="3">
        <v>6</v>
      </c>
      <c r="D265" s="3">
        <v>1</v>
      </c>
      <c r="E265" s="3">
        <v>2018</v>
      </c>
      <c r="F265" s="3">
        <v>249.99</v>
      </c>
      <c r="G265" s="7">
        <f>(E265*D265)-F265</f>
        <v>1768.01</v>
      </c>
    </row>
    <row r="266" spans="1:7" ht="13.2" x14ac:dyDescent="0.25">
      <c r="A266" s="3">
        <v>265</v>
      </c>
      <c r="B266" s="3" t="s">
        <v>256</v>
      </c>
      <c r="C266" s="3">
        <v>6</v>
      </c>
      <c r="D266" s="3">
        <v>1</v>
      </c>
      <c r="E266" s="3">
        <v>2018</v>
      </c>
      <c r="F266" s="3">
        <v>289.99</v>
      </c>
      <c r="G266" s="7">
        <f>(E266*D266)-F266</f>
        <v>1728.01</v>
      </c>
    </row>
    <row r="267" spans="1:7" ht="13.2" x14ac:dyDescent="0.25">
      <c r="A267" s="3">
        <v>266</v>
      </c>
      <c r="B267" s="3" t="s">
        <v>257</v>
      </c>
      <c r="C267" s="3">
        <v>9</v>
      </c>
      <c r="D267" s="3">
        <v>1</v>
      </c>
      <c r="E267" s="3">
        <v>2018</v>
      </c>
      <c r="F267" s="3">
        <v>399.99</v>
      </c>
      <c r="G267" s="7">
        <f>(E267*D267)-F267</f>
        <v>1618.01</v>
      </c>
    </row>
    <row r="268" spans="1:7" ht="13.2" x14ac:dyDescent="0.25">
      <c r="A268" s="3">
        <v>267</v>
      </c>
      <c r="B268" s="3" t="s">
        <v>258</v>
      </c>
      <c r="C268" s="3">
        <v>9</v>
      </c>
      <c r="D268" s="3">
        <v>1</v>
      </c>
      <c r="E268" s="3">
        <v>2018</v>
      </c>
      <c r="F268" s="3">
        <v>199.99</v>
      </c>
      <c r="G268" s="7">
        <f>(E268*D268)-F268</f>
        <v>1818.01</v>
      </c>
    </row>
    <row r="269" spans="1:7" ht="13.2" x14ac:dyDescent="0.25">
      <c r="A269" s="3">
        <v>268</v>
      </c>
      <c r="B269" s="3" t="s">
        <v>259</v>
      </c>
      <c r="C269" s="3">
        <v>9</v>
      </c>
      <c r="D269" s="3">
        <v>1</v>
      </c>
      <c r="E269" s="3">
        <v>2018</v>
      </c>
      <c r="F269" s="3">
        <v>159.99</v>
      </c>
      <c r="G269" s="7">
        <f>(E269*D269)-F269</f>
        <v>1858.01</v>
      </c>
    </row>
    <row r="270" spans="1:7" ht="13.2" x14ac:dyDescent="0.25">
      <c r="A270" s="3">
        <v>269</v>
      </c>
      <c r="B270" s="3" t="s">
        <v>260</v>
      </c>
      <c r="C270" s="3">
        <v>9</v>
      </c>
      <c r="D270" s="3">
        <v>1</v>
      </c>
      <c r="E270" s="3">
        <v>2018</v>
      </c>
      <c r="F270" s="3">
        <v>199.99</v>
      </c>
      <c r="G270" s="7">
        <f>(E270*D270)-F270</f>
        <v>1818.01</v>
      </c>
    </row>
    <row r="271" spans="1:7" ht="13.2" x14ac:dyDescent="0.25">
      <c r="A271" s="3">
        <v>270</v>
      </c>
      <c r="B271" s="3" t="s">
        <v>261</v>
      </c>
      <c r="C271" s="3">
        <v>9</v>
      </c>
      <c r="D271" s="3">
        <v>1</v>
      </c>
      <c r="E271" s="3">
        <v>2018</v>
      </c>
      <c r="F271" s="3">
        <v>209.99</v>
      </c>
      <c r="G271" s="7">
        <f>(E271*D271)-F271</f>
        <v>1808.01</v>
      </c>
    </row>
    <row r="272" spans="1:7" ht="13.2" x14ac:dyDescent="0.25">
      <c r="A272" s="3">
        <v>271</v>
      </c>
      <c r="B272" s="3" t="s">
        <v>262</v>
      </c>
      <c r="C272" s="3">
        <v>9</v>
      </c>
      <c r="D272" s="3">
        <v>1</v>
      </c>
      <c r="E272" s="3">
        <v>2018</v>
      </c>
      <c r="F272" s="3">
        <v>209.99</v>
      </c>
      <c r="G272" s="7">
        <f>(E272*D272)-F272</f>
        <v>1808.01</v>
      </c>
    </row>
    <row r="273" spans="1:7" ht="13.2" x14ac:dyDescent="0.25">
      <c r="A273" s="3">
        <v>272</v>
      </c>
      <c r="B273" s="3" t="s">
        <v>263</v>
      </c>
      <c r="C273" s="3">
        <v>9</v>
      </c>
      <c r="D273" s="3">
        <v>1</v>
      </c>
      <c r="E273" s="3">
        <v>2018</v>
      </c>
      <c r="F273" s="3">
        <v>289.99</v>
      </c>
      <c r="G273" s="7">
        <f>(E273*D273)-F273</f>
        <v>1728.01</v>
      </c>
    </row>
    <row r="274" spans="1:7" ht="13.2" x14ac:dyDescent="0.25">
      <c r="A274" s="3">
        <v>273</v>
      </c>
      <c r="B274" s="3" t="s">
        <v>264</v>
      </c>
      <c r="C274" s="3">
        <v>9</v>
      </c>
      <c r="D274" s="3">
        <v>1</v>
      </c>
      <c r="E274" s="3">
        <v>2018</v>
      </c>
      <c r="F274" s="3">
        <v>289.99</v>
      </c>
      <c r="G274" s="7">
        <f>(E274*D274)-F274</f>
        <v>1728.01</v>
      </c>
    </row>
    <row r="275" spans="1:7" ht="13.2" x14ac:dyDescent="0.25">
      <c r="A275" s="3">
        <v>274</v>
      </c>
      <c r="B275" s="3" t="s">
        <v>265</v>
      </c>
      <c r="C275" s="3">
        <v>9</v>
      </c>
      <c r="D275" s="3">
        <v>1</v>
      </c>
      <c r="E275" s="3">
        <v>2018</v>
      </c>
      <c r="F275" s="3">
        <v>229.99</v>
      </c>
      <c r="G275" s="7">
        <f>(E275*D275)-F275</f>
        <v>1788.01</v>
      </c>
    </row>
    <row r="276" spans="1:7" ht="13.2" x14ac:dyDescent="0.25">
      <c r="A276" s="3">
        <v>275</v>
      </c>
      <c r="B276" s="3" t="s">
        <v>266</v>
      </c>
      <c r="C276" s="3">
        <v>9</v>
      </c>
      <c r="D276" s="3">
        <v>1</v>
      </c>
      <c r="E276" s="3">
        <v>2018</v>
      </c>
      <c r="F276" s="3">
        <v>229.99</v>
      </c>
      <c r="G276" s="7">
        <f>(E276*D276)-F276</f>
        <v>1788.01</v>
      </c>
    </row>
    <row r="277" spans="1:7" ht="13.2" x14ac:dyDescent="0.25">
      <c r="A277" s="3">
        <v>276</v>
      </c>
      <c r="B277" s="3" t="s">
        <v>267</v>
      </c>
      <c r="C277" s="3">
        <v>9</v>
      </c>
      <c r="D277" s="3">
        <v>1</v>
      </c>
      <c r="E277" s="3">
        <v>2018</v>
      </c>
      <c r="F277" s="3">
        <v>319.99</v>
      </c>
      <c r="G277" s="7">
        <f>(E277*D277)-F277</f>
        <v>1698.01</v>
      </c>
    </row>
    <row r="278" spans="1:7" ht="13.2" x14ac:dyDescent="0.25">
      <c r="A278" s="3">
        <v>277</v>
      </c>
      <c r="B278" s="3" t="s">
        <v>268</v>
      </c>
      <c r="C278" s="3">
        <v>9</v>
      </c>
      <c r="D278" s="3">
        <v>1</v>
      </c>
      <c r="E278" s="3">
        <v>2018</v>
      </c>
      <c r="F278" s="3">
        <v>369.99</v>
      </c>
      <c r="G278" s="7">
        <f>(E278*D278)-F278</f>
        <v>1648.01</v>
      </c>
    </row>
    <row r="279" spans="1:7" ht="13.2" x14ac:dyDescent="0.25">
      <c r="A279" s="3">
        <v>278</v>
      </c>
      <c r="B279" s="3" t="s">
        <v>269</v>
      </c>
      <c r="C279" s="3">
        <v>9</v>
      </c>
      <c r="D279" s="3">
        <v>1</v>
      </c>
      <c r="E279" s="3">
        <v>2018</v>
      </c>
      <c r="F279" s="3">
        <v>369.99</v>
      </c>
      <c r="G279" s="7">
        <f>(E279*D279)-F279</f>
        <v>1648.01</v>
      </c>
    </row>
    <row r="280" spans="1:7" ht="13.2" x14ac:dyDescent="0.25">
      <c r="A280" s="3">
        <v>279</v>
      </c>
      <c r="B280" s="3" t="s">
        <v>270</v>
      </c>
      <c r="C280" s="3">
        <v>9</v>
      </c>
      <c r="D280" s="3">
        <v>1</v>
      </c>
      <c r="E280" s="3">
        <v>2018</v>
      </c>
      <c r="F280" s="3">
        <v>319.99</v>
      </c>
      <c r="G280" s="7">
        <f>(E280*D280)-F280</f>
        <v>1698.01</v>
      </c>
    </row>
    <row r="281" spans="1:7" ht="13.2" x14ac:dyDescent="0.25">
      <c r="A281" s="3">
        <v>280</v>
      </c>
      <c r="B281" s="3" t="s">
        <v>271</v>
      </c>
      <c r="C281" s="3">
        <v>9</v>
      </c>
      <c r="D281" s="3">
        <v>1</v>
      </c>
      <c r="E281" s="3">
        <v>2018</v>
      </c>
      <c r="F281" s="3">
        <v>489.99</v>
      </c>
      <c r="G281" s="7">
        <f>(E281*D281)-F281</f>
        <v>1528.01</v>
      </c>
    </row>
    <row r="282" spans="1:7" ht="13.2" x14ac:dyDescent="0.25">
      <c r="A282" s="3">
        <v>281</v>
      </c>
      <c r="B282" s="3" t="s">
        <v>222</v>
      </c>
      <c r="C282" s="3">
        <v>1</v>
      </c>
      <c r="D282" s="3">
        <v>1</v>
      </c>
      <c r="E282" s="3">
        <v>2018</v>
      </c>
      <c r="F282" s="3">
        <v>319.99</v>
      </c>
      <c r="G282" s="7">
        <f>(E282*D282)-F282</f>
        <v>1698.01</v>
      </c>
    </row>
    <row r="283" spans="1:7" ht="13.2" x14ac:dyDescent="0.25">
      <c r="A283" s="3">
        <v>282</v>
      </c>
      <c r="B283" s="3" t="s">
        <v>272</v>
      </c>
      <c r="C283" s="3">
        <v>1</v>
      </c>
      <c r="D283" s="3">
        <v>1</v>
      </c>
      <c r="E283" s="3">
        <v>2018</v>
      </c>
      <c r="F283" s="3">
        <v>279.99</v>
      </c>
      <c r="G283" s="7">
        <f>(E283*D283)-F283</f>
        <v>1738.01</v>
      </c>
    </row>
    <row r="284" spans="1:7" ht="13.2" x14ac:dyDescent="0.25">
      <c r="A284" s="3">
        <v>283</v>
      </c>
      <c r="B284" s="3" t="s">
        <v>273</v>
      </c>
      <c r="C284" s="3">
        <v>1</v>
      </c>
      <c r="D284" s="3">
        <v>1</v>
      </c>
      <c r="E284" s="3">
        <v>2018</v>
      </c>
      <c r="F284" s="3">
        <v>319.99</v>
      </c>
      <c r="G284" s="7">
        <f>(E284*D284)-F284</f>
        <v>1698.01</v>
      </c>
    </row>
    <row r="285" spans="1:7" ht="13.2" x14ac:dyDescent="0.25">
      <c r="A285" s="3">
        <v>284</v>
      </c>
      <c r="B285" s="3" t="s">
        <v>274</v>
      </c>
      <c r="C285" s="3">
        <v>1</v>
      </c>
      <c r="D285" s="3">
        <v>1</v>
      </c>
      <c r="E285" s="3">
        <v>2018</v>
      </c>
      <c r="F285" s="3">
        <v>319.99</v>
      </c>
      <c r="G285" s="7">
        <f>(E285*D285)-F285</f>
        <v>1698.01</v>
      </c>
    </row>
    <row r="286" spans="1:7" ht="13.2" x14ac:dyDescent="0.25">
      <c r="A286" s="3">
        <v>285</v>
      </c>
      <c r="B286" s="3" t="s">
        <v>275</v>
      </c>
      <c r="C286" s="3">
        <v>1</v>
      </c>
      <c r="D286" s="3">
        <v>1</v>
      </c>
      <c r="E286" s="3">
        <v>2018</v>
      </c>
      <c r="F286" s="3">
        <v>279.99</v>
      </c>
      <c r="G286" s="7">
        <f>(E286*D286)-F286</f>
        <v>1738.01</v>
      </c>
    </row>
    <row r="287" spans="1:7" ht="13.2" x14ac:dyDescent="0.25">
      <c r="A287" s="3">
        <v>286</v>
      </c>
      <c r="B287" s="3" t="s">
        <v>276</v>
      </c>
      <c r="C287" s="3">
        <v>1</v>
      </c>
      <c r="D287" s="3">
        <v>1</v>
      </c>
      <c r="E287" s="3">
        <v>2018</v>
      </c>
      <c r="F287" s="3">
        <v>279.99</v>
      </c>
      <c r="G287" s="7">
        <f>(E287*D287)-F287</f>
        <v>1738.01</v>
      </c>
    </row>
    <row r="288" spans="1:7" ht="13.2" x14ac:dyDescent="0.25">
      <c r="A288" s="3">
        <v>287</v>
      </c>
      <c r="B288" s="3" t="s">
        <v>277</v>
      </c>
      <c r="C288" s="3">
        <v>1</v>
      </c>
      <c r="D288" s="3">
        <v>1</v>
      </c>
      <c r="E288" s="3">
        <v>2018</v>
      </c>
      <c r="F288" s="3">
        <v>279.99</v>
      </c>
      <c r="G288" s="7">
        <f>(E288*D288)-F288</f>
        <v>1738.01</v>
      </c>
    </row>
    <row r="289" spans="1:7" ht="13.2" x14ac:dyDescent="0.25">
      <c r="A289" s="3">
        <v>288</v>
      </c>
      <c r="B289" s="3" t="s">
        <v>278</v>
      </c>
      <c r="C289" s="3">
        <v>1</v>
      </c>
      <c r="D289" s="3">
        <v>1</v>
      </c>
      <c r="E289" s="3">
        <v>2018</v>
      </c>
      <c r="F289" s="3">
        <v>389.99</v>
      </c>
      <c r="G289" s="7">
        <f>(E289*D289)-F289</f>
        <v>1628.01</v>
      </c>
    </row>
    <row r="290" spans="1:7" ht="13.2" x14ac:dyDescent="0.25">
      <c r="A290" s="3">
        <v>289</v>
      </c>
      <c r="B290" s="3" t="s">
        <v>279</v>
      </c>
      <c r="C290" s="3">
        <v>1</v>
      </c>
      <c r="D290" s="3">
        <v>1</v>
      </c>
      <c r="E290" s="3">
        <v>2018</v>
      </c>
      <c r="F290" s="3">
        <v>319.99</v>
      </c>
      <c r="G290" s="7">
        <f>(E290*D290)-F290</f>
        <v>1698.01</v>
      </c>
    </row>
    <row r="291" spans="1:7" ht="13.2" x14ac:dyDescent="0.25">
      <c r="A291" s="3">
        <v>290</v>
      </c>
      <c r="B291" s="3" t="s">
        <v>280</v>
      </c>
      <c r="C291" s="3">
        <v>1</v>
      </c>
      <c r="D291" s="3">
        <v>1</v>
      </c>
      <c r="E291" s="3">
        <v>2018</v>
      </c>
      <c r="F291" s="3">
        <v>369.99</v>
      </c>
      <c r="G291" s="7">
        <f>(E291*D291)-F291</f>
        <v>1648.01</v>
      </c>
    </row>
    <row r="292" spans="1:7" ht="13.2" x14ac:dyDescent="0.25">
      <c r="A292" s="3">
        <v>291</v>
      </c>
      <c r="B292" s="3" t="s">
        <v>281</v>
      </c>
      <c r="C292" s="3">
        <v>1</v>
      </c>
      <c r="D292" s="3">
        <v>1</v>
      </c>
      <c r="E292" s="3">
        <v>2018</v>
      </c>
      <c r="F292" s="3">
        <v>319.99</v>
      </c>
      <c r="G292" s="7">
        <f>(E292*D292)-F292</f>
        <v>1698.01</v>
      </c>
    </row>
    <row r="293" spans="1:7" ht="13.2" x14ac:dyDescent="0.25">
      <c r="A293" s="3">
        <v>292</v>
      </c>
      <c r="B293" s="3" t="s">
        <v>282</v>
      </c>
      <c r="C293" s="3">
        <v>1</v>
      </c>
      <c r="D293" s="3">
        <v>1</v>
      </c>
      <c r="E293" s="3">
        <v>2018</v>
      </c>
      <c r="F293" s="3">
        <v>369.99</v>
      </c>
      <c r="G293" s="7">
        <f>(E293*D293)-F293</f>
        <v>1648.01</v>
      </c>
    </row>
    <row r="294" spans="1:7" ht="13.2" x14ac:dyDescent="0.25">
      <c r="A294" s="3">
        <v>293</v>
      </c>
      <c r="B294" s="3" t="s">
        <v>283</v>
      </c>
      <c r="C294" s="3">
        <v>1</v>
      </c>
      <c r="D294" s="3">
        <v>1</v>
      </c>
      <c r="E294" s="3">
        <v>2018</v>
      </c>
      <c r="F294" s="3">
        <v>319.99</v>
      </c>
      <c r="G294" s="7">
        <f>(E294*D294)-F294</f>
        <v>1698.01</v>
      </c>
    </row>
    <row r="295" spans="1:7" ht="13.2" x14ac:dyDescent="0.25">
      <c r="A295" s="3">
        <v>294</v>
      </c>
      <c r="B295" s="3" t="s">
        <v>284</v>
      </c>
      <c r="C295" s="3">
        <v>1</v>
      </c>
      <c r="D295" s="3">
        <v>1</v>
      </c>
      <c r="E295" s="3">
        <v>2018</v>
      </c>
      <c r="F295" s="3">
        <v>369.99</v>
      </c>
      <c r="G295" s="7">
        <f>(E295*D295)-F295</f>
        <v>1648.01</v>
      </c>
    </row>
    <row r="296" spans="1:7" ht="13.2" x14ac:dyDescent="0.25">
      <c r="A296" s="3">
        <v>295</v>
      </c>
      <c r="B296" s="3" t="s">
        <v>285</v>
      </c>
      <c r="C296" s="3">
        <v>1</v>
      </c>
      <c r="D296" s="3">
        <v>1</v>
      </c>
      <c r="E296" s="3">
        <v>2018</v>
      </c>
      <c r="F296" s="3">
        <v>319.99</v>
      </c>
      <c r="G296" s="7">
        <f>(E296*D296)-F296</f>
        <v>1698.01</v>
      </c>
    </row>
    <row r="297" spans="1:7" ht="13.2" x14ac:dyDescent="0.25">
      <c r="A297" s="3">
        <v>296</v>
      </c>
      <c r="B297" s="3" t="s">
        <v>286</v>
      </c>
      <c r="C297" s="3">
        <v>1</v>
      </c>
      <c r="D297" s="3">
        <v>1</v>
      </c>
      <c r="E297" s="3">
        <v>2018</v>
      </c>
      <c r="F297" s="3">
        <v>369.99</v>
      </c>
      <c r="G297" s="7">
        <f>(E297*D297)-F297</f>
        <v>1648.01</v>
      </c>
    </row>
    <row r="298" spans="1:7" ht="13.2" x14ac:dyDescent="0.25">
      <c r="A298" s="3">
        <v>297</v>
      </c>
      <c r="B298" s="3" t="s">
        <v>287</v>
      </c>
      <c r="C298" s="3">
        <v>1</v>
      </c>
      <c r="D298" s="3">
        <v>1</v>
      </c>
      <c r="E298" s="3">
        <v>2018</v>
      </c>
      <c r="F298" s="3">
        <v>279.99</v>
      </c>
      <c r="G298" s="7">
        <f>(E298*D298)-F298</f>
        <v>1738.01</v>
      </c>
    </row>
    <row r="299" spans="1:7" ht="13.2" x14ac:dyDescent="0.25">
      <c r="A299" s="3">
        <v>298</v>
      </c>
      <c r="B299" s="3" t="s">
        <v>288</v>
      </c>
      <c r="C299" s="3">
        <v>1</v>
      </c>
      <c r="D299" s="3">
        <v>1</v>
      </c>
      <c r="E299" s="3">
        <v>2018</v>
      </c>
      <c r="F299" s="3">
        <v>279.99</v>
      </c>
      <c r="G299" s="7">
        <f>(E299*D299)-F299</f>
        <v>1738.01</v>
      </c>
    </row>
    <row r="300" spans="1:7" ht="13.2" x14ac:dyDescent="0.25">
      <c r="A300" s="3">
        <v>299</v>
      </c>
      <c r="B300" s="3" t="s">
        <v>207</v>
      </c>
      <c r="C300" s="3">
        <v>1</v>
      </c>
      <c r="D300" s="3">
        <v>2</v>
      </c>
      <c r="E300" s="3">
        <v>2018</v>
      </c>
      <c r="F300" s="3">
        <v>559.99</v>
      </c>
      <c r="G300" s="7">
        <f>(E300*D300)-F300</f>
        <v>3476.01</v>
      </c>
    </row>
    <row r="301" spans="1:7" ht="13.2" x14ac:dyDescent="0.25">
      <c r="A301" s="3">
        <v>300</v>
      </c>
      <c r="B301" s="3" t="s">
        <v>251</v>
      </c>
      <c r="C301" s="3">
        <v>1</v>
      </c>
      <c r="D301" s="3">
        <v>2</v>
      </c>
      <c r="E301" s="3">
        <v>2018</v>
      </c>
      <c r="F301" s="3">
        <v>799.99</v>
      </c>
      <c r="G301" s="7">
        <f>(E301*D301)-F301</f>
        <v>3236.01</v>
      </c>
    </row>
    <row r="302" spans="1:7" ht="13.2" x14ac:dyDescent="0.25">
      <c r="A302" s="3">
        <v>301</v>
      </c>
      <c r="B302" s="3" t="s">
        <v>252</v>
      </c>
      <c r="C302" s="3">
        <v>1</v>
      </c>
      <c r="D302" s="3">
        <v>2</v>
      </c>
      <c r="E302" s="3">
        <v>2018</v>
      </c>
      <c r="F302" s="3">
        <v>899.99</v>
      </c>
      <c r="G302" s="7">
        <f>(E302*D302)-F302</f>
        <v>3136.01</v>
      </c>
    </row>
    <row r="303" spans="1:7" ht="13.2" x14ac:dyDescent="0.25">
      <c r="A303" s="3">
        <v>302</v>
      </c>
      <c r="B303" s="3" t="s">
        <v>289</v>
      </c>
      <c r="C303" s="3">
        <v>1</v>
      </c>
      <c r="D303" s="3">
        <v>2</v>
      </c>
      <c r="E303" s="3">
        <v>2018</v>
      </c>
      <c r="F303" s="3">
        <v>449.99</v>
      </c>
      <c r="G303" s="7">
        <f>(E303*D303)-F303</f>
        <v>3586.01</v>
      </c>
    </row>
    <row r="304" spans="1:7" ht="13.2" x14ac:dyDescent="0.25">
      <c r="A304" s="3">
        <v>303</v>
      </c>
      <c r="B304" s="3" t="s">
        <v>189</v>
      </c>
      <c r="C304" s="3">
        <v>1</v>
      </c>
      <c r="D304" s="3">
        <v>2</v>
      </c>
      <c r="E304" s="3">
        <v>2018</v>
      </c>
      <c r="F304" s="3">
        <v>2599.9899999999998</v>
      </c>
      <c r="G304" s="7">
        <f>(E304*D304)-F304</f>
        <v>1436.0100000000002</v>
      </c>
    </row>
    <row r="305" spans="1:7" ht="13.2" x14ac:dyDescent="0.25">
      <c r="A305" s="3">
        <v>304</v>
      </c>
      <c r="B305" s="3" t="s">
        <v>221</v>
      </c>
      <c r="C305" s="3">
        <v>1</v>
      </c>
      <c r="D305" s="3">
        <v>2</v>
      </c>
      <c r="E305" s="3">
        <v>2018</v>
      </c>
      <c r="F305" s="3">
        <v>679.99</v>
      </c>
      <c r="G305" s="7">
        <f>(E305*D305)-F305</f>
        <v>3356.01</v>
      </c>
    </row>
    <row r="306" spans="1:7" ht="13.2" x14ac:dyDescent="0.25">
      <c r="A306" s="3">
        <v>305</v>
      </c>
      <c r="B306" s="3" t="s">
        <v>245</v>
      </c>
      <c r="C306" s="3">
        <v>1</v>
      </c>
      <c r="D306" s="3">
        <v>2</v>
      </c>
      <c r="E306" s="3">
        <v>2018</v>
      </c>
      <c r="F306" s="3">
        <v>749.99</v>
      </c>
      <c r="G306" s="7">
        <f>(E306*D306)-F306</f>
        <v>3286.01</v>
      </c>
    </row>
    <row r="307" spans="1:7" ht="13.2" x14ac:dyDescent="0.25">
      <c r="A307" s="3">
        <v>306</v>
      </c>
      <c r="B307" s="3" t="s">
        <v>246</v>
      </c>
      <c r="C307" s="3">
        <v>1</v>
      </c>
      <c r="D307" s="3">
        <v>2</v>
      </c>
      <c r="E307" s="3">
        <v>2018</v>
      </c>
      <c r="F307" s="3">
        <v>899.99</v>
      </c>
      <c r="G307" s="7">
        <f>(E307*D307)-F307</f>
        <v>3136.01</v>
      </c>
    </row>
    <row r="308" spans="1:7" ht="13.2" x14ac:dyDescent="0.25">
      <c r="A308" s="3">
        <v>307</v>
      </c>
      <c r="B308" s="3" t="s">
        <v>233</v>
      </c>
      <c r="C308" s="3">
        <v>1</v>
      </c>
      <c r="D308" s="3">
        <v>2</v>
      </c>
      <c r="E308" s="3">
        <v>2018</v>
      </c>
      <c r="F308" s="3">
        <v>749.99</v>
      </c>
      <c r="G308" s="7">
        <f>(E308*D308)-F308</f>
        <v>3286.01</v>
      </c>
    </row>
    <row r="309" spans="1:7" ht="13.2" x14ac:dyDescent="0.25">
      <c r="A309" s="3">
        <v>308</v>
      </c>
      <c r="B309" s="3" t="s">
        <v>234</v>
      </c>
      <c r="C309" s="3">
        <v>1</v>
      </c>
      <c r="D309" s="3">
        <v>2</v>
      </c>
      <c r="E309" s="3">
        <v>2018</v>
      </c>
      <c r="F309" s="3">
        <v>749.99</v>
      </c>
      <c r="G309" s="7">
        <f>(E309*D309)-F309</f>
        <v>3286.01</v>
      </c>
    </row>
    <row r="310" spans="1:7" ht="13.2" x14ac:dyDescent="0.25">
      <c r="A310" s="3">
        <v>309</v>
      </c>
      <c r="B310" s="3" t="s">
        <v>247</v>
      </c>
      <c r="C310" s="3">
        <v>1</v>
      </c>
      <c r="D310" s="3">
        <v>2</v>
      </c>
      <c r="E310" s="3">
        <v>2018</v>
      </c>
      <c r="F310" s="3">
        <v>899.99</v>
      </c>
      <c r="G310" s="7">
        <f>(E310*D310)-F310</f>
        <v>3136.01</v>
      </c>
    </row>
    <row r="311" spans="1:7" ht="13.2" x14ac:dyDescent="0.25">
      <c r="A311" s="3">
        <v>310</v>
      </c>
      <c r="B311" s="3" t="s">
        <v>235</v>
      </c>
      <c r="C311" s="3">
        <v>1</v>
      </c>
      <c r="D311" s="3">
        <v>2</v>
      </c>
      <c r="E311" s="3">
        <v>2018</v>
      </c>
      <c r="F311" s="3">
        <v>899.99</v>
      </c>
      <c r="G311" s="7">
        <f>(E311*D311)-F311</f>
        <v>3136.01</v>
      </c>
    </row>
    <row r="312" spans="1:7" ht="13.2" x14ac:dyDescent="0.25">
      <c r="A312" s="3">
        <v>311</v>
      </c>
      <c r="B312" s="3" t="s">
        <v>236</v>
      </c>
      <c r="C312" s="3">
        <v>1</v>
      </c>
      <c r="D312" s="3">
        <v>2</v>
      </c>
      <c r="E312" s="3">
        <v>2018</v>
      </c>
      <c r="F312" s="3">
        <v>749.99</v>
      </c>
      <c r="G312" s="7">
        <f>(E312*D312)-F312</f>
        <v>3286.01</v>
      </c>
    </row>
    <row r="313" spans="1:7" ht="13.2" x14ac:dyDescent="0.25">
      <c r="A313" s="3">
        <v>312</v>
      </c>
      <c r="B313" s="3" t="s">
        <v>237</v>
      </c>
      <c r="C313" s="3">
        <v>1</v>
      </c>
      <c r="D313" s="3">
        <v>2</v>
      </c>
      <c r="E313" s="3">
        <v>2018</v>
      </c>
      <c r="F313" s="3">
        <v>699.99</v>
      </c>
      <c r="G313" s="7">
        <f>(E313*D313)-F313</f>
        <v>3336.01</v>
      </c>
    </row>
    <row r="314" spans="1:7" ht="13.2" x14ac:dyDescent="0.25">
      <c r="A314" s="3">
        <v>313</v>
      </c>
      <c r="B314" s="3" t="s">
        <v>290</v>
      </c>
      <c r="C314" s="3">
        <v>1</v>
      </c>
      <c r="D314" s="3">
        <v>2</v>
      </c>
      <c r="E314" s="3">
        <v>2018</v>
      </c>
      <c r="F314" s="3">
        <v>449.99</v>
      </c>
      <c r="G314" s="7">
        <f>(E314*D314)-F314</f>
        <v>3586.01</v>
      </c>
    </row>
    <row r="315" spans="1:7" ht="13.2" x14ac:dyDescent="0.25">
      <c r="A315" s="3">
        <v>314</v>
      </c>
      <c r="B315" s="3" t="s">
        <v>238</v>
      </c>
      <c r="C315" s="3">
        <v>1</v>
      </c>
      <c r="D315" s="3">
        <v>2</v>
      </c>
      <c r="E315" s="3">
        <v>2018</v>
      </c>
      <c r="F315" s="3">
        <v>679.99</v>
      </c>
      <c r="G315" s="7">
        <f>(E315*D315)-F315</f>
        <v>3356.01</v>
      </c>
    </row>
    <row r="316" spans="1:7" ht="13.2" x14ac:dyDescent="0.25">
      <c r="A316" s="3">
        <v>315</v>
      </c>
      <c r="B316" s="3" t="s">
        <v>239</v>
      </c>
      <c r="C316" s="3">
        <v>1</v>
      </c>
      <c r="D316" s="3">
        <v>2</v>
      </c>
      <c r="E316" s="3">
        <v>2018</v>
      </c>
      <c r="F316" s="3">
        <v>559.99</v>
      </c>
      <c r="G316" s="7">
        <f>(E316*D316)-F316</f>
        <v>3476.01</v>
      </c>
    </row>
    <row r="317" spans="1:7" ht="13.2" x14ac:dyDescent="0.25">
      <c r="A317" s="3">
        <v>316</v>
      </c>
      <c r="B317" s="3" t="s">
        <v>291</v>
      </c>
      <c r="C317" s="3">
        <v>9</v>
      </c>
      <c r="D317" s="3">
        <v>7</v>
      </c>
      <c r="E317" s="3">
        <v>2019</v>
      </c>
      <c r="F317" s="3">
        <v>1699.99</v>
      </c>
      <c r="G317" s="7">
        <f>(E317*D317)-F317</f>
        <v>12433.01</v>
      </c>
    </row>
    <row r="318" spans="1:7" ht="13.2" x14ac:dyDescent="0.25">
      <c r="A318" s="3">
        <v>317</v>
      </c>
      <c r="B318" s="3" t="s">
        <v>292</v>
      </c>
      <c r="C318" s="3">
        <v>9</v>
      </c>
      <c r="D318" s="3">
        <v>7</v>
      </c>
      <c r="E318" s="3">
        <v>2019</v>
      </c>
      <c r="F318" s="3">
        <v>1999.99</v>
      </c>
      <c r="G318" s="7">
        <f>(E318*D318)-F318</f>
        <v>12133.01</v>
      </c>
    </row>
    <row r="319" spans="1:7" ht="13.2" x14ac:dyDescent="0.25">
      <c r="A319" s="3">
        <v>318</v>
      </c>
      <c r="B319" s="3" t="s">
        <v>293</v>
      </c>
      <c r="C319" s="3">
        <v>9</v>
      </c>
      <c r="D319" s="3">
        <v>7</v>
      </c>
      <c r="E319" s="3">
        <v>2019</v>
      </c>
      <c r="F319" s="3">
        <v>1999.99</v>
      </c>
      <c r="G319" s="7">
        <f>(E319*D319)-F319</f>
        <v>12133.01</v>
      </c>
    </row>
    <row r="320" spans="1:7" ht="13.2" x14ac:dyDescent="0.25">
      <c r="A320" s="3">
        <v>319</v>
      </c>
      <c r="B320" s="3" t="s">
        <v>294</v>
      </c>
      <c r="C320" s="3">
        <v>9</v>
      </c>
      <c r="D320" s="3">
        <v>7</v>
      </c>
      <c r="E320" s="3">
        <v>2019</v>
      </c>
      <c r="F320" s="3">
        <v>2799.99</v>
      </c>
      <c r="G320" s="7">
        <f>(E320*D320)-F320</f>
        <v>11333.01</v>
      </c>
    </row>
    <row r="321" spans="1:7" ht="13.2" x14ac:dyDescent="0.25">
      <c r="A321" s="3">
        <v>320</v>
      </c>
      <c r="B321" s="3" t="s">
        <v>295</v>
      </c>
      <c r="C321" s="3">
        <v>9</v>
      </c>
      <c r="D321" s="3">
        <v>7</v>
      </c>
      <c r="E321" s="3">
        <v>2019</v>
      </c>
      <c r="F321" s="3">
        <v>3799.99</v>
      </c>
      <c r="G321" s="7">
        <f>(E321*D321)-F321</f>
        <v>10333.01</v>
      </c>
    </row>
    <row r="322" spans="1:7" ht="13.2" x14ac:dyDescent="0.25">
      <c r="A322" s="3">
        <v>321</v>
      </c>
      <c r="B322" s="3" t="s">
        <v>296</v>
      </c>
      <c r="C322" s="3">
        <v>9</v>
      </c>
      <c r="D322" s="3">
        <v>7</v>
      </c>
      <c r="E322" s="3">
        <v>2019</v>
      </c>
      <c r="F322" s="3">
        <v>3199.99</v>
      </c>
      <c r="G322" s="7">
        <f>(E322*D322)-F322</f>
        <v>10933.01</v>
      </c>
    </row>
  </sheetData>
  <autoFilter ref="F1:F47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2026-07-05T17:22:55Z</dcterms:modified>
</cp:coreProperties>
</file>